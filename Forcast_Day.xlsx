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ower BI\Project 2\"/>
    </mc:Choice>
  </mc:AlternateContent>
  <xr:revisionPtr revIDLastSave="0" documentId="8_{18A25998-8230-4166-B0FE-A90ABCFC8D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92" i="1" l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I2" i="1"/>
  <c r="H2" i="1"/>
</calcChain>
</file>

<file path=xl/sharedStrings.xml><?xml version="1.0" encoding="utf-8"?>
<sst xmlns="http://schemas.openxmlformats.org/spreadsheetml/2006/main" count="787" uniqueCount="96">
  <si>
    <t>location.name</t>
  </si>
  <si>
    <t>location.region</t>
  </si>
  <si>
    <t>location.country</t>
  </si>
  <si>
    <t>location.lat</t>
  </si>
  <si>
    <t>location.lon</t>
  </si>
  <si>
    <t>location.tz_id</t>
  </si>
  <si>
    <t>location.localtime_epoch</t>
  </si>
  <si>
    <t>location.localtime</t>
  </si>
  <si>
    <t>forecast.forecastday.date</t>
  </si>
  <si>
    <t>forecast.forecastday.date_epoch</t>
  </si>
  <si>
    <t>forecast.forecastday.day.maxtemp_c</t>
  </si>
  <si>
    <t>forecast.forecastday.day.maxtemp_f</t>
  </si>
  <si>
    <t>forecast.forecastday.day.mintemp_c</t>
  </si>
  <si>
    <t>forecast.forecastday.day.mintemp_f</t>
  </si>
  <si>
    <t>forecast.forecastday.day.avgtemp_c</t>
  </si>
  <si>
    <t>forecast.forecastday.day.avgtemp_f</t>
  </si>
  <si>
    <t>forecast.forecastday.day.maxwind_mph</t>
  </si>
  <si>
    <t>forecast.forecastday.day.maxwind_kph</t>
  </si>
  <si>
    <t>forecast.forecastday.day.totalprecip_mm</t>
  </si>
  <si>
    <t>forecast.forecastday.day.totalprecip_in</t>
  </si>
  <si>
    <t>forecast.forecastday.day.totalsnow_cm</t>
  </si>
  <si>
    <t>forecast.forecastday.day.avgvis_km</t>
  </si>
  <si>
    <t>forecast.forecastday.day.avgvis_miles</t>
  </si>
  <si>
    <t>forecast.forecastday.day.avghumidity</t>
  </si>
  <si>
    <t>forecast.forecastday.day.daily_will_it_rain</t>
  </si>
  <si>
    <t>forecast.forecastday.day.daily_chance_of_rain</t>
  </si>
  <si>
    <t>forecast.forecastday.day.daily_will_it_snow</t>
  </si>
  <si>
    <t>forecast.forecastday.day.daily_chance_of_snow</t>
  </si>
  <si>
    <t>forecast.forecastday.day.condition.text</t>
  </si>
  <si>
    <t>forecast.forecastday.day.condition.icon</t>
  </si>
  <si>
    <t>forecast.forecastday.day.condition.code</t>
  </si>
  <si>
    <t>forecast.forecastday.day.uv</t>
  </si>
  <si>
    <t>forecast.forecastday.day.air_quality.co</t>
  </si>
  <si>
    <t>forecast.forecastday.day.air_quality.no2</t>
  </si>
  <si>
    <t>forecast.forecastday.day.air_quality.o3</t>
  </si>
  <si>
    <t>forecast.forecastday.day.air_quality.so2</t>
  </si>
  <si>
    <t>forecast.forecastday.day.air_quality.pm2_5</t>
  </si>
  <si>
    <t>forecast.forecastday.day.air_quality.pm10</t>
  </si>
  <si>
    <t>forecast.forecastday.day.air_quality.us-epa-index</t>
  </si>
  <si>
    <t>forecast.forecastday.day.air_quality.gb-defra-index</t>
  </si>
  <si>
    <t>forecast.forecastday.astro.sunrise</t>
  </si>
  <si>
    <t>forecast.forecastday.astro.sunset</t>
  </si>
  <si>
    <t>forecast.forecastday.astro.moonrise</t>
  </si>
  <si>
    <t>forecast.forecastday.astro.moonset</t>
  </si>
  <si>
    <t>forecast.forecastday.astro.moon_phase</t>
  </si>
  <si>
    <t>forecast.forecastday.astro.moon_illumination</t>
  </si>
  <si>
    <t>forecast.forecastday.astro.is_moon_up</t>
  </si>
  <si>
    <t>forecast.forecastday.astro.is_sun_up</t>
  </si>
  <si>
    <t>Day_Formated</t>
  </si>
  <si>
    <t>Day</t>
  </si>
  <si>
    <t>Jaipur</t>
  </si>
  <si>
    <t>Rajasthan</t>
  </si>
  <si>
    <t>India</t>
  </si>
  <si>
    <t>Asia/Kolkata</t>
  </si>
  <si>
    <t>Heavy rain</t>
  </si>
  <si>
    <t>https://cdn.weatherapi.com/weather/64x64/day/308.png</t>
  </si>
  <si>
    <t>No moonrise</t>
  </si>
  <si>
    <t>Last Quarter</t>
  </si>
  <si>
    <t>Wednesday</t>
  </si>
  <si>
    <t>Waning Crescent</t>
  </si>
  <si>
    <t>Thursday</t>
  </si>
  <si>
    <t>Moderate rain</t>
  </si>
  <si>
    <t>https://cdn.weatherapi.com/weather/64x64/day/302.png</t>
  </si>
  <si>
    <t>Friday</t>
  </si>
  <si>
    <t>Patchy rain nearby</t>
  </si>
  <si>
    <t>https://cdn.weatherapi.com/weather/64x64/day/176.png</t>
  </si>
  <si>
    <t>Saturday</t>
  </si>
  <si>
    <t>Partly Cloudy</t>
  </si>
  <si>
    <t>https://cdn.weatherapi.com/weather/64x64/day/116.png</t>
  </si>
  <si>
    <t>Sunday</t>
  </si>
  <si>
    <t>Monday</t>
  </si>
  <si>
    <t>Tuesday</t>
  </si>
  <si>
    <t>Lucknow</t>
  </si>
  <si>
    <t>Uttar Pradesh</t>
  </si>
  <si>
    <t>Ajmer</t>
  </si>
  <si>
    <t>Hyderabad</t>
  </si>
  <si>
    <t>Telangana</t>
  </si>
  <si>
    <t>Bangalore</t>
  </si>
  <si>
    <t>Karnataka</t>
  </si>
  <si>
    <t>Sunny</t>
  </si>
  <si>
    <t>https://cdn.weatherapi.com/weather/64x64/day/113.png</t>
  </si>
  <si>
    <t>Kolkata</t>
  </si>
  <si>
    <t>West Bengal</t>
  </si>
  <si>
    <t>Mumbai</t>
  </si>
  <si>
    <t>Maharashtra</t>
  </si>
  <si>
    <t>Kochi</t>
  </si>
  <si>
    <t>Kerala</t>
  </si>
  <si>
    <t>Pune</t>
  </si>
  <si>
    <t>Chennai</t>
  </si>
  <si>
    <t>Tamil Nadu</t>
  </si>
  <si>
    <t>New Delhi</t>
  </si>
  <si>
    <t>Delhi</t>
  </si>
  <si>
    <t>Surat</t>
  </si>
  <si>
    <t>Gujarat</t>
  </si>
  <si>
    <t>Bhopal</t>
  </si>
  <si>
    <t>Madhya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</si>
</sst>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"/>
    <numFmt numFmtId="165" formatCode="d\ mmmm\ 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1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dn.weatherapi.com/weather/64x64/day/116.png" TargetMode="External"/><Relationship Id="rId21" Type="http://schemas.openxmlformats.org/officeDocument/2006/relationships/hyperlink" Target="https://cdn.weatherapi.com/weather/64x64/day/116.png" TargetMode="External"/><Relationship Id="rId42" Type="http://schemas.openxmlformats.org/officeDocument/2006/relationships/hyperlink" Target="https://cdn.weatherapi.com/weather/64x64/day/116.png" TargetMode="External"/><Relationship Id="rId47" Type="http://schemas.openxmlformats.org/officeDocument/2006/relationships/hyperlink" Target="https://cdn.weatherapi.com/weather/64x64/day/302.png" TargetMode="External"/><Relationship Id="rId63" Type="http://schemas.openxmlformats.org/officeDocument/2006/relationships/hyperlink" Target="https://cdn.weatherapi.com/weather/64x64/day/176.png" TargetMode="External"/><Relationship Id="rId68" Type="http://schemas.openxmlformats.org/officeDocument/2006/relationships/hyperlink" Target="https://cdn.weatherapi.com/weather/64x64/day/116.png" TargetMode="External"/><Relationship Id="rId84" Type="http://schemas.openxmlformats.org/officeDocument/2006/relationships/hyperlink" Target="https://cdn.weatherapi.com/weather/64x64/day/176.png" TargetMode="External"/><Relationship Id="rId89" Type="http://schemas.openxmlformats.org/officeDocument/2006/relationships/hyperlink" Target="https://cdn.weatherapi.com/weather/64x64/day/176.png" TargetMode="External"/><Relationship Id="rId16" Type="http://schemas.openxmlformats.org/officeDocument/2006/relationships/hyperlink" Target="https://cdn.weatherapi.com/weather/64x64/day/302.png" TargetMode="External"/><Relationship Id="rId11" Type="http://schemas.openxmlformats.org/officeDocument/2006/relationships/hyperlink" Target="https://cdn.weatherapi.com/weather/64x64/day/302.png" TargetMode="External"/><Relationship Id="rId32" Type="http://schemas.openxmlformats.org/officeDocument/2006/relationships/hyperlink" Target="https://cdn.weatherapi.com/weather/64x64/day/116.png" TargetMode="External"/><Relationship Id="rId37" Type="http://schemas.openxmlformats.org/officeDocument/2006/relationships/hyperlink" Target="https://cdn.weatherapi.com/weather/64x64/day/302.png" TargetMode="External"/><Relationship Id="rId53" Type="http://schemas.openxmlformats.org/officeDocument/2006/relationships/hyperlink" Target="https://cdn.weatherapi.com/weather/64x64/day/176.png" TargetMode="External"/><Relationship Id="rId58" Type="http://schemas.openxmlformats.org/officeDocument/2006/relationships/hyperlink" Target="https://cdn.weatherapi.com/weather/64x64/day/176.png" TargetMode="External"/><Relationship Id="rId74" Type="http://schemas.openxmlformats.org/officeDocument/2006/relationships/hyperlink" Target="https://cdn.weatherapi.com/weather/64x64/day/176.png" TargetMode="External"/><Relationship Id="rId79" Type="http://schemas.openxmlformats.org/officeDocument/2006/relationships/hyperlink" Target="https://cdn.weatherapi.com/weather/64x64/day/308.png" TargetMode="External"/><Relationship Id="rId5" Type="http://schemas.openxmlformats.org/officeDocument/2006/relationships/hyperlink" Target="https://cdn.weatherapi.com/weather/64x64/day/176.png" TargetMode="External"/><Relationship Id="rId90" Type="http://schemas.openxmlformats.org/officeDocument/2006/relationships/hyperlink" Target="https://cdn.weatherapi.com/weather/64x64/day/116.png" TargetMode="External"/><Relationship Id="rId14" Type="http://schemas.openxmlformats.org/officeDocument/2006/relationships/hyperlink" Target="https://cdn.weatherapi.com/weather/64x64/day/308.png" TargetMode="External"/><Relationship Id="rId22" Type="http://schemas.openxmlformats.org/officeDocument/2006/relationships/hyperlink" Target="https://cdn.weatherapi.com/weather/64x64/day/116.png" TargetMode="External"/><Relationship Id="rId27" Type="http://schemas.openxmlformats.org/officeDocument/2006/relationships/hyperlink" Target="https://cdn.weatherapi.com/weather/64x64/day/116.png" TargetMode="External"/><Relationship Id="rId30" Type="http://schemas.openxmlformats.org/officeDocument/2006/relationships/hyperlink" Target="https://cdn.weatherapi.com/weather/64x64/day/116.png" TargetMode="External"/><Relationship Id="rId35" Type="http://schemas.openxmlformats.org/officeDocument/2006/relationships/hyperlink" Target="https://cdn.weatherapi.com/weather/64x64/day/116.png" TargetMode="External"/><Relationship Id="rId43" Type="http://schemas.openxmlformats.org/officeDocument/2006/relationships/hyperlink" Target="https://cdn.weatherapi.com/weather/64x64/day/176.png" TargetMode="External"/><Relationship Id="rId48" Type="http://schemas.openxmlformats.org/officeDocument/2006/relationships/hyperlink" Target="https://cdn.weatherapi.com/weather/64x64/day/302.png" TargetMode="External"/><Relationship Id="rId56" Type="http://schemas.openxmlformats.org/officeDocument/2006/relationships/hyperlink" Target="https://cdn.weatherapi.com/weather/64x64/day/302.png" TargetMode="External"/><Relationship Id="rId64" Type="http://schemas.openxmlformats.org/officeDocument/2006/relationships/hyperlink" Target="https://cdn.weatherapi.com/weather/64x64/day/176.png" TargetMode="External"/><Relationship Id="rId69" Type="http://schemas.openxmlformats.org/officeDocument/2006/relationships/hyperlink" Target="https://cdn.weatherapi.com/weather/64x64/day/176.png" TargetMode="External"/><Relationship Id="rId77" Type="http://schemas.openxmlformats.org/officeDocument/2006/relationships/hyperlink" Target="https://cdn.weatherapi.com/weather/64x64/day/176.png" TargetMode="External"/><Relationship Id="rId8" Type="http://schemas.openxmlformats.org/officeDocument/2006/relationships/hyperlink" Target="https://cdn.weatherapi.com/weather/64x64/day/176.png" TargetMode="External"/><Relationship Id="rId51" Type="http://schemas.openxmlformats.org/officeDocument/2006/relationships/hyperlink" Target="https://cdn.weatherapi.com/weather/64x64/day/308.png" TargetMode="External"/><Relationship Id="rId72" Type="http://schemas.openxmlformats.org/officeDocument/2006/relationships/hyperlink" Target="https://cdn.weatherapi.com/weather/64x64/day/302.png" TargetMode="External"/><Relationship Id="rId80" Type="http://schemas.openxmlformats.org/officeDocument/2006/relationships/hyperlink" Target="https://cdn.weatherapi.com/weather/64x64/day/308.png" TargetMode="External"/><Relationship Id="rId85" Type="http://schemas.openxmlformats.org/officeDocument/2006/relationships/hyperlink" Target="https://cdn.weatherapi.com/weather/64x64/day/302.png" TargetMode="External"/><Relationship Id="rId3" Type="http://schemas.openxmlformats.org/officeDocument/2006/relationships/hyperlink" Target="https://cdn.weatherapi.com/weather/64x64/day/308.png" TargetMode="External"/><Relationship Id="rId12" Type="http://schemas.openxmlformats.org/officeDocument/2006/relationships/hyperlink" Target="https://cdn.weatherapi.com/weather/64x64/day/176.png" TargetMode="External"/><Relationship Id="rId17" Type="http://schemas.openxmlformats.org/officeDocument/2006/relationships/hyperlink" Target="https://cdn.weatherapi.com/weather/64x64/day/302.png" TargetMode="External"/><Relationship Id="rId25" Type="http://schemas.openxmlformats.org/officeDocument/2006/relationships/hyperlink" Target="https://cdn.weatherapi.com/weather/64x64/day/176.png" TargetMode="External"/><Relationship Id="rId33" Type="http://schemas.openxmlformats.org/officeDocument/2006/relationships/hyperlink" Target="https://cdn.weatherapi.com/weather/64x64/day/113.png" TargetMode="External"/><Relationship Id="rId38" Type="http://schemas.openxmlformats.org/officeDocument/2006/relationships/hyperlink" Target="https://cdn.weatherapi.com/weather/64x64/day/176.png" TargetMode="External"/><Relationship Id="rId46" Type="http://schemas.openxmlformats.org/officeDocument/2006/relationships/hyperlink" Target="https://cdn.weatherapi.com/weather/64x64/day/308.png" TargetMode="External"/><Relationship Id="rId59" Type="http://schemas.openxmlformats.org/officeDocument/2006/relationships/hyperlink" Target="https://cdn.weatherapi.com/weather/64x64/day/308.png" TargetMode="External"/><Relationship Id="rId67" Type="http://schemas.openxmlformats.org/officeDocument/2006/relationships/hyperlink" Target="https://cdn.weatherapi.com/weather/64x64/day/176.png" TargetMode="External"/><Relationship Id="rId20" Type="http://schemas.openxmlformats.org/officeDocument/2006/relationships/hyperlink" Target="https://cdn.weatherapi.com/weather/64x64/day/116.png" TargetMode="External"/><Relationship Id="rId41" Type="http://schemas.openxmlformats.org/officeDocument/2006/relationships/hyperlink" Target="https://cdn.weatherapi.com/weather/64x64/day/176.png" TargetMode="External"/><Relationship Id="rId54" Type="http://schemas.openxmlformats.org/officeDocument/2006/relationships/hyperlink" Target="https://cdn.weatherapi.com/weather/64x64/day/176.png" TargetMode="External"/><Relationship Id="rId62" Type="http://schemas.openxmlformats.org/officeDocument/2006/relationships/hyperlink" Target="https://cdn.weatherapi.com/weather/64x64/day/176.png" TargetMode="External"/><Relationship Id="rId70" Type="http://schemas.openxmlformats.org/officeDocument/2006/relationships/hyperlink" Target="https://cdn.weatherapi.com/weather/64x64/day/176.png" TargetMode="External"/><Relationship Id="rId75" Type="http://schemas.openxmlformats.org/officeDocument/2006/relationships/hyperlink" Target="https://cdn.weatherapi.com/weather/64x64/day/302.png" TargetMode="External"/><Relationship Id="rId83" Type="http://schemas.openxmlformats.org/officeDocument/2006/relationships/hyperlink" Target="https://cdn.weatherapi.com/weather/64x64/day/302.png" TargetMode="External"/><Relationship Id="rId88" Type="http://schemas.openxmlformats.org/officeDocument/2006/relationships/hyperlink" Target="https://cdn.weatherapi.com/weather/64x64/day/308.png" TargetMode="External"/><Relationship Id="rId91" Type="http://schemas.openxmlformats.org/officeDocument/2006/relationships/hyperlink" Target="https://cdn.weatherapi.com/weather/64x64/day/116.png" TargetMode="External"/><Relationship Id="rId1" Type="http://schemas.openxmlformats.org/officeDocument/2006/relationships/hyperlink" Target="http://forecast.forecastday.day.air_quality.co/" TargetMode="External"/><Relationship Id="rId6" Type="http://schemas.openxmlformats.org/officeDocument/2006/relationships/hyperlink" Target="https://cdn.weatherapi.com/weather/64x64/day/116.png" TargetMode="External"/><Relationship Id="rId15" Type="http://schemas.openxmlformats.org/officeDocument/2006/relationships/hyperlink" Target="https://cdn.weatherapi.com/weather/64x64/day/302.png" TargetMode="External"/><Relationship Id="rId23" Type="http://schemas.openxmlformats.org/officeDocument/2006/relationships/hyperlink" Target="https://cdn.weatherapi.com/weather/64x64/day/116.png" TargetMode="External"/><Relationship Id="rId28" Type="http://schemas.openxmlformats.org/officeDocument/2006/relationships/hyperlink" Target="https://cdn.weatherapi.com/weather/64x64/day/116.png" TargetMode="External"/><Relationship Id="rId36" Type="http://schemas.openxmlformats.org/officeDocument/2006/relationships/hyperlink" Target="https://cdn.weatherapi.com/weather/64x64/day/116.png" TargetMode="External"/><Relationship Id="rId49" Type="http://schemas.openxmlformats.org/officeDocument/2006/relationships/hyperlink" Target="https://cdn.weatherapi.com/weather/64x64/day/302.png" TargetMode="External"/><Relationship Id="rId57" Type="http://schemas.openxmlformats.org/officeDocument/2006/relationships/hyperlink" Target="https://cdn.weatherapi.com/weather/64x64/day/176.png" TargetMode="External"/><Relationship Id="rId10" Type="http://schemas.openxmlformats.org/officeDocument/2006/relationships/hyperlink" Target="https://cdn.weatherapi.com/weather/64x64/day/302.png" TargetMode="External"/><Relationship Id="rId31" Type="http://schemas.openxmlformats.org/officeDocument/2006/relationships/hyperlink" Target="https://cdn.weatherapi.com/weather/64x64/day/113.png" TargetMode="External"/><Relationship Id="rId44" Type="http://schemas.openxmlformats.org/officeDocument/2006/relationships/hyperlink" Target="https://cdn.weatherapi.com/weather/64x64/day/308.png" TargetMode="External"/><Relationship Id="rId52" Type="http://schemas.openxmlformats.org/officeDocument/2006/relationships/hyperlink" Target="https://cdn.weatherapi.com/weather/64x64/day/302.png" TargetMode="External"/><Relationship Id="rId60" Type="http://schemas.openxmlformats.org/officeDocument/2006/relationships/hyperlink" Target="https://cdn.weatherapi.com/weather/64x64/day/176.png" TargetMode="External"/><Relationship Id="rId65" Type="http://schemas.openxmlformats.org/officeDocument/2006/relationships/hyperlink" Target="https://cdn.weatherapi.com/weather/64x64/day/176.png" TargetMode="External"/><Relationship Id="rId73" Type="http://schemas.openxmlformats.org/officeDocument/2006/relationships/hyperlink" Target="https://cdn.weatherapi.com/weather/64x64/day/302.png" TargetMode="External"/><Relationship Id="rId78" Type="http://schemas.openxmlformats.org/officeDocument/2006/relationships/hyperlink" Target="https://cdn.weatherapi.com/weather/64x64/day/176.png" TargetMode="External"/><Relationship Id="rId81" Type="http://schemas.openxmlformats.org/officeDocument/2006/relationships/hyperlink" Target="https://cdn.weatherapi.com/weather/64x64/day/302.png" TargetMode="External"/><Relationship Id="rId86" Type="http://schemas.openxmlformats.org/officeDocument/2006/relationships/hyperlink" Target="https://cdn.weatherapi.com/weather/64x64/day/176.png" TargetMode="External"/><Relationship Id="rId4" Type="http://schemas.openxmlformats.org/officeDocument/2006/relationships/hyperlink" Target="https://cdn.weatherapi.com/weather/64x64/day/302.png" TargetMode="External"/><Relationship Id="rId9" Type="http://schemas.openxmlformats.org/officeDocument/2006/relationships/hyperlink" Target="https://cdn.weatherapi.com/weather/64x64/day/176.png" TargetMode="External"/><Relationship Id="rId13" Type="http://schemas.openxmlformats.org/officeDocument/2006/relationships/hyperlink" Target="https://cdn.weatherapi.com/weather/64x64/day/302.png" TargetMode="External"/><Relationship Id="rId18" Type="http://schemas.openxmlformats.org/officeDocument/2006/relationships/hyperlink" Target="https://cdn.weatherapi.com/weather/64x64/day/302.png" TargetMode="External"/><Relationship Id="rId39" Type="http://schemas.openxmlformats.org/officeDocument/2006/relationships/hyperlink" Target="https://cdn.weatherapi.com/weather/64x64/day/176.png" TargetMode="External"/><Relationship Id="rId34" Type="http://schemas.openxmlformats.org/officeDocument/2006/relationships/hyperlink" Target="https://cdn.weatherapi.com/weather/64x64/day/116.png" TargetMode="External"/><Relationship Id="rId50" Type="http://schemas.openxmlformats.org/officeDocument/2006/relationships/hyperlink" Target="https://cdn.weatherapi.com/weather/64x64/day/302.png" TargetMode="External"/><Relationship Id="rId55" Type="http://schemas.openxmlformats.org/officeDocument/2006/relationships/hyperlink" Target="https://cdn.weatherapi.com/weather/64x64/day/302.png" TargetMode="External"/><Relationship Id="rId76" Type="http://schemas.openxmlformats.org/officeDocument/2006/relationships/hyperlink" Target="https://cdn.weatherapi.com/weather/64x64/day/176.png" TargetMode="External"/><Relationship Id="rId7" Type="http://schemas.openxmlformats.org/officeDocument/2006/relationships/hyperlink" Target="https://cdn.weatherapi.com/weather/64x64/day/116.png" TargetMode="External"/><Relationship Id="rId71" Type="http://schemas.openxmlformats.org/officeDocument/2006/relationships/hyperlink" Target="https://cdn.weatherapi.com/weather/64x64/day/116.png" TargetMode="External"/><Relationship Id="rId92" Type="http://schemas.openxmlformats.org/officeDocument/2006/relationships/hyperlink" Target="https://cdn.weatherapi.com/weather/64x64/day/176.png" TargetMode="External"/><Relationship Id="rId2" Type="http://schemas.openxmlformats.org/officeDocument/2006/relationships/hyperlink" Target="https://cdn.weatherapi.com/weather/64x64/day/308.png" TargetMode="External"/><Relationship Id="rId29" Type="http://schemas.openxmlformats.org/officeDocument/2006/relationships/hyperlink" Target="https://cdn.weatherapi.com/weather/64x64/day/176.png" TargetMode="External"/><Relationship Id="rId24" Type="http://schemas.openxmlformats.org/officeDocument/2006/relationships/hyperlink" Target="https://cdn.weatherapi.com/weather/64x64/day/116.png" TargetMode="External"/><Relationship Id="rId40" Type="http://schemas.openxmlformats.org/officeDocument/2006/relationships/hyperlink" Target="https://cdn.weatherapi.com/weather/64x64/day/176.png" TargetMode="External"/><Relationship Id="rId45" Type="http://schemas.openxmlformats.org/officeDocument/2006/relationships/hyperlink" Target="https://cdn.weatherapi.com/weather/64x64/day/308.png" TargetMode="External"/><Relationship Id="rId66" Type="http://schemas.openxmlformats.org/officeDocument/2006/relationships/hyperlink" Target="https://cdn.weatherapi.com/weather/64x64/day/176.png" TargetMode="External"/><Relationship Id="rId87" Type="http://schemas.openxmlformats.org/officeDocument/2006/relationships/hyperlink" Target="https://cdn.weatherapi.com/weather/64x64/day/302.png" TargetMode="External"/><Relationship Id="rId61" Type="http://schemas.openxmlformats.org/officeDocument/2006/relationships/hyperlink" Target="https://cdn.weatherapi.com/weather/64x64/day/176.png" TargetMode="External"/><Relationship Id="rId82" Type="http://schemas.openxmlformats.org/officeDocument/2006/relationships/hyperlink" Target="https://cdn.weatherapi.com/weather/64x64/day/302.png" TargetMode="External"/><Relationship Id="rId19" Type="http://schemas.openxmlformats.org/officeDocument/2006/relationships/hyperlink" Target="https://cdn.weatherapi.com/weather/64x64/day/176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92"/>
  <sheetViews>
    <sheetView tabSelected="1" workbookViewId="0"/>
  </sheetViews>
  <sheetFormatPr defaultColWidth="12.6328125" defaultRowHeight="15.75" customHeight="1" x14ac:dyDescent="0.25"/>
  <sheetData>
    <row r="1" spans="1:5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15.75" customHeight="1" x14ac:dyDescent="0.25">
      <c r="A2" s="3" t="s">
        <v>50</v>
      </c>
      <c r="B2" s="3" t="s">
        <v>51</v>
      </c>
      <c r="C2" s="3" t="s">
        <v>52</v>
      </c>
      <c r="D2" s="3">
        <v>26.916699999999999</v>
      </c>
      <c r="E2" s="3">
        <v>75.816699999999997</v>
      </c>
      <c r="F2" s="3" t="s">
        <v>53</v>
      </c>
      <c r="G2" s="3">
        <v>1750250619</v>
      </c>
      <c r="H2" s="4">
        <f t="shared" ref="H2:H92" ca="1" si="0">NOW()</f>
        <v>46118.952512962962</v>
      </c>
      <c r="I2" s="5">
        <f t="shared" ref="I2:I92" ca="1" si="1">NOW()</f>
        <v>46118.952512962962</v>
      </c>
      <c r="J2" s="3">
        <v>1750204800</v>
      </c>
      <c r="K2" s="3">
        <v>32.6</v>
      </c>
      <c r="L2" s="3">
        <v>90.6</v>
      </c>
      <c r="M2" s="3">
        <v>27.6</v>
      </c>
      <c r="N2" s="3">
        <v>81.599999999999994</v>
      </c>
      <c r="O2" s="3">
        <v>29.9</v>
      </c>
      <c r="P2" s="3">
        <v>85.9</v>
      </c>
      <c r="Q2" s="3">
        <v>9.4</v>
      </c>
      <c r="R2" s="3">
        <v>15.1</v>
      </c>
      <c r="S2" s="3">
        <v>37.97</v>
      </c>
      <c r="T2" s="3">
        <v>1.5</v>
      </c>
      <c r="U2" s="3">
        <v>0</v>
      </c>
      <c r="V2" s="3">
        <v>9.3000000000000007</v>
      </c>
      <c r="W2" s="3">
        <v>5</v>
      </c>
      <c r="X2" s="3">
        <v>66</v>
      </c>
      <c r="Y2" s="3">
        <v>1</v>
      </c>
      <c r="Z2" s="3">
        <v>89</v>
      </c>
      <c r="AA2" s="3">
        <v>0</v>
      </c>
      <c r="AB2" s="3">
        <v>0</v>
      </c>
      <c r="AC2" s="3" t="s">
        <v>54</v>
      </c>
      <c r="AD2" s="6" t="s">
        <v>55</v>
      </c>
      <c r="AE2" s="3">
        <v>1195</v>
      </c>
      <c r="AF2" s="3">
        <v>2.2999999999999998</v>
      </c>
      <c r="AG2" s="3">
        <v>554.38333333333298</v>
      </c>
      <c r="AH2" s="3">
        <v>11.3929166666667</v>
      </c>
      <c r="AI2" s="3">
        <v>79.2916666666667</v>
      </c>
      <c r="AJ2" s="3">
        <v>15.270208333333301</v>
      </c>
      <c r="AK2" s="3">
        <v>29.307083333333299</v>
      </c>
      <c r="AL2" s="3">
        <v>47.922708333333297</v>
      </c>
      <c r="AM2" s="3">
        <v>2</v>
      </c>
      <c r="AN2" s="3">
        <v>3</v>
      </c>
      <c r="AO2" s="7">
        <v>0.23125000000000001</v>
      </c>
      <c r="AP2" s="7">
        <v>0.80763888888888891</v>
      </c>
      <c r="AQ2" s="3" t="s">
        <v>56</v>
      </c>
      <c r="AR2" s="7">
        <v>0.49722222222222223</v>
      </c>
      <c r="AS2" s="3" t="s">
        <v>57</v>
      </c>
      <c r="AT2" s="3">
        <v>59</v>
      </c>
      <c r="AU2" s="3">
        <v>1</v>
      </c>
      <c r="AV2" s="3">
        <v>0</v>
      </c>
      <c r="AW2" s="3" t="s">
        <v>58</v>
      </c>
      <c r="AX2" s="3">
        <v>18</v>
      </c>
    </row>
    <row r="3" spans="1:50" ht="15.75" customHeight="1" x14ac:dyDescent="0.25">
      <c r="A3" s="3" t="s">
        <v>50</v>
      </c>
      <c r="B3" s="3" t="s">
        <v>51</v>
      </c>
      <c r="C3" s="3" t="s">
        <v>52</v>
      </c>
      <c r="D3" s="3">
        <v>26.916699999999999</v>
      </c>
      <c r="E3" s="3">
        <v>75.816699999999997</v>
      </c>
      <c r="F3" s="3" t="s">
        <v>53</v>
      </c>
      <c r="G3" s="3">
        <v>1750250619</v>
      </c>
      <c r="H3" s="4">
        <f t="shared" ca="1" si="0"/>
        <v>46118.952512962962</v>
      </c>
      <c r="I3" s="5">
        <f t="shared" ca="1" si="1"/>
        <v>46118.952512962962</v>
      </c>
      <c r="J3" s="3">
        <v>1750291200</v>
      </c>
      <c r="K3" s="3">
        <v>30.3</v>
      </c>
      <c r="L3" s="3">
        <v>86.6</v>
      </c>
      <c r="M3" s="3">
        <v>26.6</v>
      </c>
      <c r="N3" s="3">
        <v>79.900000000000006</v>
      </c>
      <c r="O3" s="3">
        <v>28.3</v>
      </c>
      <c r="P3" s="3">
        <v>82.9</v>
      </c>
      <c r="Q3" s="3">
        <v>10.7</v>
      </c>
      <c r="R3" s="3">
        <v>17.3</v>
      </c>
      <c r="S3" s="3">
        <v>22.25</v>
      </c>
      <c r="T3" s="3">
        <v>0.88</v>
      </c>
      <c r="U3" s="3">
        <v>0</v>
      </c>
      <c r="V3" s="3">
        <v>9.5</v>
      </c>
      <c r="W3" s="3">
        <v>5</v>
      </c>
      <c r="X3" s="3">
        <v>76</v>
      </c>
      <c r="Y3" s="3">
        <v>1</v>
      </c>
      <c r="Z3" s="3">
        <v>89</v>
      </c>
      <c r="AA3" s="3">
        <v>0</v>
      </c>
      <c r="AB3" s="3">
        <v>0</v>
      </c>
      <c r="AC3" s="3" t="s">
        <v>54</v>
      </c>
      <c r="AD3" s="6" t="s">
        <v>55</v>
      </c>
      <c r="AE3" s="3">
        <v>1195</v>
      </c>
      <c r="AF3" s="3">
        <v>2.2999999999999998</v>
      </c>
      <c r="AG3" s="3">
        <v>532.41458333333298</v>
      </c>
      <c r="AH3" s="3">
        <v>14.137083333333299</v>
      </c>
      <c r="AI3" s="3">
        <v>80.7083333333333</v>
      </c>
      <c r="AJ3" s="3">
        <v>7.4770833333333302</v>
      </c>
      <c r="AK3" s="3">
        <v>17.097083333333298</v>
      </c>
      <c r="AL3" s="3">
        <v>17.305208333333301</v>
      </c>
      <c r="AM3" s="3">
        <v>2</v>
      </c>
      <c r="AN3" s="3">
        <v>2</v>
      </c>
      <c r="AO3" s="7">
        <v>0.23125000000000001</v>
      </c>
      <c r="AP3" s="7">
        <v>0.80763888888888891</v>
      </c>
      <c r="AQ3" s="7">
        <v>2.013888888888889E-2</v>
      </c>
      <c r="AR3" s="7">
        <v>0.5395833333333333</v>
      </c>
      <c r="AS3" s="3" t="s">
        <v>59</v>
      </c>
      <c r="AT3" s="3">
        <v>48</v>
      </c>
      <c r="AU3" s="3">
        <v>1</v>
      </c>
      <c r="AV3" s="3">
        <v>0</v>
      </c>
      <c r="AW3" s="3" t="s">
        <v>60</v>
      </c>
      <c r="AX3" s="3">
        <v>19</v>
      </c>
    </row>
    <row r="4" spans="1:50" ht="15.75" customHeight="1" x14ac:dyDescent="0.25">
      <c r="A4" s="3" t="s">
        <v>50</v>
      </c>
      <c r="B4" s="3" t="s">
        <v>51</v>
      </c>
      <c r="C4" s="3" t="s">
        <v>52</v>
      </c>
      <c r="D4" s="3">
        <v>26.916699999999999</v>
      </c>
      <c r="E4" s="3">
        <v>75.816699999999997</v>
      </c>
      <c r="F4" s="3" t="s">
        <v>53</v>
      </c>
      <c r="G4" s="3">
        <v>1750250619</v>
      </c>
      <c r="H4" s="4">
        <f t="shared" ca="1" si="0"/>
        <v>46118.952512962962</v>
      </c>
      <c r="I4" s="5">
        <f t="shared" ca="1" si="1"/>
        <v>46118.952512962962</v>
      </c>
      <c r="J4" s="3">
        <v>1750377600</v>
      </c>
      <c r="K4" s="3">
        <v>32.1</v>
      </c>
      <c r="L4" s="3">
        <v>89.8</v>
      </c>
      <c r="M4" s="3">
        <v>26.1</v>
      </c>
      <c r="N4" s="3">
        <v>79.099999999999994</v>
      </c>
      <c r="O4" s="3">
        <v>29</v>
      </c>
      <c r="P4" s="3">
        <v>84.2</v>
      </c>
      <c r="Q4" s="3">
        <v>10.5</v>
      </c>
      <c r="R4" s="3">
        <v>16.899999999999999</v>
      </c>
      <c r="S4" s="3">
        <v>8.57</v>
      </c>
      <c r="T4" s="3">
        <v>0.34</v>
      </c>
      <c r="U4" s="3">
        <v>0</v>
      </c>
      <c r="V4" s="3">
        <v>9.6</v>
      </c>
      <c r="W4" s="3">
        <v>5</v>
      </c>
      <c r="X4" s="3">
        <v>69</v>
      </c>
      <c r="Y4" s="3">
        <v>1</v>
      </c>
      <c r="Z4" s="3">
        <v>89</v>
      </c>
      <c r="AA4" s="3">
        <v>0</v>
      </c>
      <c r="AB4" s="3">
        <v>0</v>
      </c>
      <c r="AC4" s="3" t="s">
        <v>61</v>
      </c>
      <c r="AD4" s="6" t="s">
        <v>62</v>
      </c>
      <c r="AE4" s="3">
        <v>1189</v>
      </c>
      <c r="AF4" s="3">
        <v>1.2</v>
      </c>
      <c r="AG4" s="3">
        <v>423.26458333333301</v>
      </c>
      <c r="AH4" s="3">
        <v>15.408958333333301</v>
      </c>
      <c r="AI4" s="3">
        <v>86.2916666666667</v>
      </c>
      <c r="AJ4" s="3">
        <v>6.2822916666666702</v>
      </c>
      <c r="AK4" s="3">
        <v>24.165624999999999</v>
      </c>
      <c r="AL4" s="3">
        <v>37.547291666666702</v>
      </c>
      <c r="AM4" s="3">
        <v>2</v>
      </c>
      <c r="AN4" s="3">
        <v>3</v>
      </c>
      <c r="AO4" s="7">
        <v>0.23194444444444445</v>
      </c>
      <c r="AP4" s="7">
        <v>0.80833333333333335</v>
      </c>
      <c r="AQ4" s="7">
        <v>4.3749999999999997E-2</v>
      </c>
      <c r="AR4" s="7">
        <v>0.58333333333333337</v>
      </c>
      <c r="AS4" s="3" t="s">
        <v>59</v>
      </c>
      <c r="AT4" s="3">
        <v>37</v>
      </c>
      <c r="AU4" s="3">
        <v>1</v>
      </c>
      <c r="AV4" s="3">
        <v>0</v>
      </c>
      <c r="AW4" s="3" t="s">
        <v>63</v>
      </c>
      <c r="AX4" s="3">
        <v>20</v>
      </c>
    </row>
    <row r="5" spans="1:50" ht="15.75" customHeight="1" x14ac:dyDescent="0.25">
      <c r="A5" s="3" t="s">
        <v>50</v>
      </c>
      <c r="B5" s="3" t="s">
        <v>51</v>
      </c>
      <c r="C5" s="3" t="s">
        <v>52</v>
      </c>
      <c r="D5" s="3">
        <v>26.916699999999999</v>
      </c>
      <c r="E5" s="3">
        <v>75.816699999999997</v>
      </c>
      <c r="F5" s="3" t="s">
        <v>53</v>
      </c>
      <c r="G5" s="3">
        <v>1750250619</v>
      </c>
      <c r="H5" s="4">
        <f t="shared" ca="1" si="0"/>
        <v>46118.952512962962</v>
      </c>
      <c r="I5" s="5">
        <f t="shared" ca="1" si="1"/>
        <v>46118.952512962962</v>
      </c>
      <c r="J5" s="3">
        <v>1750464000</v>
      </c>
      <c r="K5" s="3">
        <v>32.9</v>
      </c>
      <c r="L5" s="3">
        <v>91.2</v>
      </c>
      <c r="M5" s="3">
        <v>27.6</v>
      </c>
      <c r="N5" s="3">
        <v>81.599999999999994</v>
      </c>
      <c r="O5" s="3">
        <v>29.9</v>
      </c>
      <c r="P5" s="3">
        <v>85.9</v>
      </c>
      <c r="Q5" s="3">
        <v>10.7</v>
      </c>
      <c r="R5" s="3">
        <v>17.3</v>
      </c>
      <c r="S5" s="3">
        <v>3.5</v>
      </c>
      <c r="T5" s="3">
        <v>0.14000000000000001</v>
      </c>
      <c r="U5" s="3">
        <v>0</v>
      </c>
      <c r="V5" s="3">
        <v>9.1999999999999993</v>
      </c>
      <c r="W5" s="3">
        <v>5</v>
      </c>
      <c r="X5" s="3">
        <v>60</v>
      </c>
      <c r="Y5" s="3">
        <v>1</v>
      </c>
      <c r="Z5" s="3">
        <v>84</v>
      </c>
      <c r="AA5" s="3">
        <v>0</v>
      </c>
      <c r="AB5" s="3">
        <v>0</v>
      </c>
      <c r="AC5" s="3" t="s">
        <v>64</v>
      </c>
      <c r="AD5" s="6" t="s">
        <v>65</v>
      </c>
      <c r="AE5" s="3">
        <v>1063</v>
      </c>
      <c r="AF5" s="3">
        <v>2.4</v>
      </c>
      <c r="AG5" s="3">
        <v>419.10208333333298</v>
      </c>
      <c r="AH5" s="3">
        <v>16.218333333333302</v>
      </c>
      <c r="AI5" s="3">
        <v>84.0416666666667</v>
      </c>
      <c r="AJ5" s="3">
        <v>6.9914583333333304</v>
      </c>
      <c r="AK5" s="3">
        <v>37.716875000000002</v>
      </c>
      <c r="AL5" s="3">
        <v>93.170625000000001</v>
      </c>
      <c r="AM5" s="3">
        <v>2</v>
      </c>
      <c r="AN5" s="3">
        <v>4</v>
      </c>
      <c r="AO5" s="7">
        <v>0.23194444444444445</v>
      </c>
      <c r="AP5" s="7">
        <v>0.80833333333333335</v>
      </c>
      <c r="AQ5" s="7">
        <v>6.805555555555555E-2</v>
      </c>
      <c r="AR5" s="7">
        <v>0.62916666666666665</v>
      </c>
      <c r="AS5" s="3" t="s">
        <v>59</v>
      </c>
      <c r="AT5" s="3">
        <v>26</v>
      </c>
      <c r="AU5" s="3">
        <v>1</v>
      </c>
      <c r="AV5" s="3">
        <v>0</v>
      </c>
      <c r="AW5" s="3" t="s">
        <v>66</v>
      </c>
      <c r="AX5" s="3">
        <v>21</v>
      </c>
    </row>
    <row r="6" spans="1:50" ht="15.75" customHeight="1" x14ac:dyDescent="0.25">
      <c r="A6" s="3" t="s">
        <v>50</v>
      </c>
      <c r="B6" s="3" t="s">
        <v>51</v>
      </c>
      <c r="C6" s="3" t="s">
        <v>52</v>
      </c>
      <c r="D6" s="3">
        <v>26.916699999999999</v>
      </c>
      <c r="E6" s="3">
        <v>75.816699999999997</v>
      </c>
      <c r="F6" s="3" t="s">
        <v>53</v>
      </c>
      <c r="G6" s="3">
        <v>1750250619</v>
      </c>
      <c r="H6" s="4">
        <f t="shared" ca="1" si="0"/>
        <v>46118.952512962962</v>
      </c>
      <c r="I6" s="5">
        <f t="shared" ca="1" si="1"/>
        <v>46118.952512962962</v>
      </c>
      <c r="J6" s="3">
        <v>1750550400</v>
      </c>
      <c r="K6" s="3">
        <v>36.299999999999997</v>
      </c>
      <c r="L6" s="3">
        <v>97.3</v>
      </c>
      <c r="M6" s="3">
        <v>28</v>
      </c>
      <c r="N6" s="3">
        <v>82.4</v>
      </c>
      <c r="O6" s="3">
        <v>32.299999999999997</v>
      </c>
      <c r="P6" s="3">
        <v>90.1</v>
      </c>
      <c r="Q6" s="3">
        <v>13.6</v>
      </c>
      <c r="R6" s="3">
        <v>22</v>
      </c>
      <c r="S6" s="3">
        <v>0</v>
      </c>
      <c r="T6" s="3">
        <v>0</v>
      </c>
      <c r="U6" s="3">
        <v>0</v>
      </c>
      <c r="V6" s="3">
        <v>10</v>
      </c>
      <c r="W6" s="3">
        <v>6</v>
      </c>
      <c r="X6" s="3">
        <v>51</v>
      </c>
      <c r="Y6" s="3">
        <v>0</v>
      </c>
      <c r="Z6" s="3">
        <v>0</v>
      </c>
      <c r="AA6" s="3">
        <v>0</v>
      </c>
      <c r="AB6" s="3">
        <v>0</v>
      </c>
      <c r="AC6" s="3" t="s">
        <v>67</v>
      </c>
      <c r="AD6" s="6" t="s">
        <v>68</v>
      </c>
      <c r="AE6" s="3">
        <v>1003</v>
      </c>
      <c r="AF6" s="3">
        <v>3.4</v>
      </c>
      <c r="AG6" s="3">
        <v>362.6</v>
      </c>
      <c r="AH6" s="3">
        <v>7.2920833333333297</v>
      </c>
      <c r="AI6" s="3">
        <v>95.1666666666667</v>
      </c>
      <c r="AJ6" s="3">
        <v>5.0566666666666702</v>
      </c>
      <c r="AK6" s="3">
        <v>34.826250000000002</v>
      </c>
      <c r="AL6" s="3">
        <v>102.87541666666699</v>
      </c>
      <c r="AM6" s="3">
        <v>2</v>
      </c>
      <c r="AN6" s="3">
        <v>3</v>
      </c>
      <c r="AO6" s="7">
        <v>0.23194444444444445</v>
      </c>
      <c r="AP6" s="7">
        <v>0.80833333333333335</v>
      </c>
      <c r="AQ6" s="7">
        <v>9.5138888888888884E-2</v>
      </c>
      <c r="AR6" s="7">
        <v>0.67708333333333337</v>
      </c>
      <c r="AS6" s="3" t="s">
        <v>59</v>
      </c>
      <c r="AT6" s="3">
        <v>16</v>
      </c>
      <c r="AU6" s="3">
        <v>1</v>
      </c>
      <c r="AV6" s="3">
        <v>0</v>
      </c>
      <c r="AW6" s="3" t="s">
        <v>69</v>
      </c>
      <c r="AX6" s="3">
        <v>22</v>
      </c>
    </row>
    <row r="7" spans="1:50" ht="15.75" customHeight="1" x14ac:dyDescent="0.25">
      <c r="A7" s="3" t="s">
        <v>50</v>
      </c>
      <c r="B7" s="3" t="s">
        <v>51</v>
      </c>
      <c r="C7" s="3" t="s">
        <v>52</v>
      </c>
      <c r="D7" s="3">
        <v>26.916699999999999</v>
      </c>
      <c r="E7" s="3">
        <v>75.816699999999997</v>
      </c>
      <c r="F7" s="3" t="s">
        <v>53</v>
      </c>
      <c r="G7" s="3">
        <v>1750250619</v>
      </c>
      <c r="H7" s="4">
        <f t="shared" ca="1" si="0"/>
        <v>46118.952512962962</v>
      </c>
      <c r="I7" s="5">
        <f t="shared" ca="1" si="1"/>
        <v>46118.952512962962</v>
      </c>
      <c r="J7" s="3">
        <v>1750636800</v>
      </c>
      <c r="K7" s="3">
        <v>35.6</v>
      </c>
      <c r="L7" s="3">
        <v>96.1</v>
      </c>
      <c r="M7" s="3">
        <v>29.2</v>
      </c>
      <c r="N7" s="3">
        <v>84.5</v>
      </c>
      <c r="O7" s="3">
        <v>32</v>
      </c>
      <c r="P7" s="3">
        <v>89.7</v>
      </c>
      <c r="Q7" s="3">
        <v>18.3</v>
      </c>
      <c r="R7" s="3">
        <v>29.5</v>
      </c>
      <c r="S7" s="3">
        <v>0</v>
      </c>
      <c r="T7" s="3">
        <v>0</v>
      </c>
      <c r="U7" s="3">
        <v>0</v>
      </c>
      <c r="V7" s="3">
        <v>10</v>
      </c>
      <c r="W7" s="3">
        <v>6</v>
      </c>
      <c r="X7" s="3">
        <v>53</v>
      </c>
      <c r="Y7" s="3">
        <v>0</v>
      </c>
      <c r="Z7" s="3">
        <v>0</v>
      </c>
      <c r="AA7" s="3">
        <v>0</v>
      </c>
      <c r="AB7" s="3">
        <v>0</v>
      </c>
      <c r="AC7" s="3" t="s">
        <v>67</v>
      </c>
      <c r="AD7" s="6" t="s">
        <v>68</v>
      </c>
      <c r="AE7" s="3">
        <v>1003</v>
      </c>
      <c r="AF7" s="3">
        <v>8</v>
      </c>
      <c r="AO7" s="7">
        <v>0.23194444444444445</v>
      </c>
      <c r="AP7" s="7">
        <v>0.80833333333333335</v>
      </c>
      <c r="AQ7" s="7">
        <v>0.12708333333333333</v>
      </c>
      <c r="AR7" s="7">
        <v>0.7270833333333333</v>
      </c>
      <c r="AS7" s="3" t="s">
        <v>59</v>
      </c>
      <c r="AT7" s="3">
        <v>9</v>
      </c>
      <c r="AU7" s="3">
        <v>1</v>
      </c>
      <c r="AV7" s="3">
        <v>0</v>
      </c>
      <c r="AW7" s="3" t="s">
        <v>70</v>
      </c>
      <c r="AX7" s="3">
        <v>23</v>
      </c>
    </row>
    <row r="8" spans="1:50" ht="15.75" customHeight="1" x14ac:dyDescent="0.25">
      <c r="A8" s="3" t="s">
        <v>50</v>
      </c>
      <c r="B8" s="3" t="s">
        <v>51</v>
      </c>
      <c r="C8" s="3" t="s">
        <v>52</v>
      </c>
      <c r="D8" s="3">
        <v>26.916699999999999</v>
      </c>
      <c r="E8" s="3">
        <v>75.816699999999997</v>
      </c>
      <c r="F8" s="3" t="s">
        <v>53</v>
      </c>
      <c r="G8" s="3">
        <v>1750250619</v>
      </c>
      <c r="H8" s="4">
        <f t="shared" ca="1" si="0"/>
        <v>46118.952512962962</v>
      </c>
      <c r="I8" s="5">
        <f t="shared" ca="1" si="1"/>
        <v>46118.952512962962</v>
      </c>
      <c r="J8" s="3">
        <v>1750723200</v>
      </c>
      <c r="K8" s="3">
        <v>30.6</v>
      </c>
      <c r="L8" s="3">
        <v>87</v>
      </c>
      <c r="M8" s="3">
        <v>26</v>
      </c>
      <c r="N8" s="3">
        <v>78.8</v>
      </c>
      <c r="O8" s="3">
        <v>28.5</v>
      </c>
      <c r="P8" s="3">
        <v>83.3</v>
      </c>
      <c r="Q8" s="3">
        <v>16.3</v>
      </c>
      <c r="R8" s="3">
        <v>26.3</v>
      </c>
      <c r="S8" s="3">
        <v>0.9</v>
      </c>
      <c r="T8" s="3">
        <v>0.04</v>
      </c>
      <c r="U8" s="3">
        <v>0</v>
      </c>
      <c r="V8" s="3">
        <v>9</v>
      </c>
      <c r="W8" s="3">
        <v>5</v>
      </c>
      <c r="X8" s="3">
        <v>67</v>
      </c>
      <c r="Y8" s="3">
        <v>1</v>
      </c>
      <c r="Z8" s="3">
        <v>87</v>
      </c>
      <c r="AA8" s="3">
        <v>0</v>
      </c>
      <c r="AB8" s="3">
        <v>0</v>
      </c>
      <c r="AC8" s="3" t="s">
        <v>64</v>
      </c>
      <c r="AD8" s="6" t="s">
        <v>65</v>
      </c>
      <c r="AE8" s="3">
        <v>1063</v>
      </c>
      <c r="AF8" s="3">
        <v>6</v>
      </c>
      <c r="AO8" s="7">
        <v>0.23194444444444445</v>
      </c>
      <c r="AP8" s="7">
        <v>0.80833333333333335</v>
      </c>
      <c r="AQ8" s="7">
        <v>0.16458333333333333</v>
      </c>
      <c r="AR8" s="7">
        <v>0.77569444444444446</v>
      </c>
      <c r="AS8" s="3" t="s">
        <v>59</v>
      </c>
      <c r="AT8" s="3">
        <v>3</v>
      </c>
      <c r="AU8" s="3">
        <v>1</v>
      </c>
      <c r="AV8" s="3">
        <v>0</v>
      </c>
      <c r="AW8" s="3" t="s">
        <v>71</v>
      </c>
      <c r="AX8" s="3">
        <v>24</v>
      </c>
    </row>
    <row r="9" spans="1:50" ht="15.75" customHeight="1" x14ac:dyDescent="0.25">
      <c r="A9" s="3" t="s">
        <v>72</v>
      </c>
      <c r="B9" s="3" t="s">
        <v>73</v>
      </c>
      <c r="C9" s="3" t="s">
        <v>52</v>
      </c>
      <c r="D9" s="3">
        <v>26.85</v>
      </c>
      <c r="E9" s="3">
        <v>80.917000000000002</v>
      </c>
      <c r="F9" s="3" t="s">
        <v>53</v>
      </c>
      <c r="G9" s="3">
        <v>1750250857</v>
      </c>
      <c r="H9" s="4">
        <f t="shared" ca="1" si="0"/>
        <v>46118.952512962962</v>
      </c>
      <c r="I9" s="5">
        <f t="shared" ca="1" si="1"/>
        <v>46118.952512962962</v>
      </c>
      <c r="J9" s="3">
        <v>1750204800</v>
      </c>
      <c r="K9" s="3">
        <v>37.4</v>
      </c>
      <c r="L9" s="3">
        <v>99.3</v>
      </c>
      <c r="M9" s="3">
        <v>32.1</v>
      </c>
      <c r="N9" s="3">
        <v>89.7</v>
      </c>
      <c r="O9" s="3">
        <v>35</v>
      </c>
      <c r="P9" s="3">
        <v>94.9</v>
      </c>
      <c r="Q9" s="3">
        <v>9.1999999999999993</v>
      </c>
      <c r="R9" s="3">
        <v>14.8</v>
      </c>
      <c r="S9" s="3">
        <v>1.91</v>
      </c>
      <c r="T9" s="3">
        <v>0.08</v>
      </c>
      <c r="U9" s="3">
        <v>0</v>
      </c>
      <c r="V9" s="3">
        <v>9.6</v>
      </c>
      <c r="W9" s="3">
        <v>5</v>
      </c>
      <c r="X9" s="3">
        <v>46</v>
      </c>
      <c r="Y9" s="3">
        <v>1</v>
      </c>
      <c r="Z9" s="3">
        <v>93</v>
      </c>
      <c r="AA9" s="3">
        <v>0</v>
      </c>
      <c r="AB9" s="3">
        <v>0</v>
      </c>
      <c r="AC9" s="3" t="s">
        <v>64</v>
      </c>
      <c r="AD9" s="6" t="s">
        <v>65</v>
      </c>
      <c r="AE9" s="3">
        <v>1063</v>
      </c>
      <c r="AF9" s="3">
        <v>1.6</v>
      </c>
      <c r="AG9" s="3">
        <v>655.59375</v>
      </c>
      <c r="AH9" s="3">
        <v>19.394166666666699</v>
      </c>
      <c r="AI9" s="3">
        <v>106.291666666667</v>
      </c>
      <c r="AJ9" s="3">
        <v>11.901666666666699</v>
      </c>
      <c r="AK9" s="3">
        <v>66.391874999999999</v>
      </c>
      <c r="AL9" s="3">
        <v>95.914791666666702</v>
      </c>
      <c r="AM9" s="3">
        <v>4</v>
      </c>
      <c r="AN9" s="3">
        <v>9</v>
      </c>
      <c r="AO9" s="7">
        <v>0.21736111111111112</v>
      </c>
      <c r="AP9" s="7">
        <v>0.79305555555555551</v>
      </c>
      <c r="AQ9" s="3" t="s">
        <v>56</v>
      </c>
      <c r="AR9" s="7">
        <v>0.4826388888888889</v>
      </c>
      <c r="AS9" s="3" t="s">
        <v>57</v>
      </c>
      <c r="AT9" s="3">
        <v>59</v>
      </c>
      <c r="AU9" s="3">
        <v>1</v>
      </c>
      <c r="AV9" s="3">
        <v>0</v>
      </c>
      <c r="AW9" s="3" t="s">
        <v>58</v>
      </c>
      <c r="AX9" s="3">
        <v>18</v>
      </c>
    </row>
    <row r="10" spans="1:50" ht="15.75" customHeight="1" x14ac:dyDescent="0.25">
      <c r="A10" s="3" t="s">
        <v>72</v>
      </c>
      <c r="B10" s="3" t="s">
        <v>73</v>
      </c>
      <c r="C10" s="3" t="s">
        <v>52</v>
      </c>
      <c r="D10" s="3">
        <v>26.85</v>
      </c>
      <c r="E10" s="3">
        <v>80.917000000000002</v>
      </c>
      <c r="F10" s="3" t="s">
        <v>53</v>
      </c>
      <c r="G10" s="3">
        <v>1750250857</v>
      </c>
      <c r="H10" s="4">
        <f t="shared" ca="1" si="0"/>
        <v>46118.952512962962</v>
      </c>
      <c r="I10" s="5">
        <f t="shared" ca="1" si="1"/>
        <v>46118.952512962962</v>
      </c>
      <c r="J10" s="3">
        <v>1750291200</v>
      </c>
      <c r="K10" s="3">
        <v>37.4</v>
      </c>
      <c r="L10" s="3">
        <v>99.3</v>
      </c>
      <c r="M10" s="3">
        <v>29.1</v>
      </c>
      <c r="N10" s="3">
        <v>84.4</v>
      </c>
      <c r="O10" s="3">
        <v>33.6</v>
      </c>
      <c r="P10" s="3">
        <v>92.4</v>
      </c>
      <c r="Q10" s="3">
        <v>15.2</v>
      </c>
      <c r="R10" s="3">
        <v>24.5</v>
      </c>
      <c r="S10" s="3">
        <v>5.41</v>
      </c>
      <c r="T10" s="3">
        <v>0.21</v>
      </c>
      <c r="U10" s="3">
        <v>0</v>
      </c>
      <c r="V10" s="3">
        <v>9.1999999999999993</v>
      </c>
      <c r="W10" s="3">
        <v>5</v>
      </c>
      <c r="X10" s="3">
        <v>54</v>
      </c>
      <c r="Y10" s="3">
        <v>1</v>
      </c>
      <c r="Z10" s="3">
        <v>88</v>
      </c>
      <c r="AA10" s="3">
        <v>0</v>
      </c>
      <c r="AB10" s="3">
        <v>0</v>
      </c>
      <c r="AC10" s="3" t="s">
        <v>61</v>
      </c>
      <c r="AD10" s="6" t="s">
        <v>62</v>
      </c>
      <c r="AE10" s="3">
        <v>1189</v>
      </c>
      <c r="AF10" s="3">
        <v>0.7</v>
      </c>
      <c r="AG10" s="3">
        <v>589.37916666666695</v>
      </c>
      <c r="AH10" s="3">
        <v>20.673749999999998</v>
      </c>
      <c r="AI10" s="3">
        <v>99.9583333333333</v>
      </c>
      <c r="AJ10" s="3">
        <v>14.56875</v>
      </c>
      <c r="AK10" s="3">
        <v>56.517499999999998</v>
      </c>
      <c r="AL10" s="3">
        <v>70.037916666666703</v>
      </c>
      <c r="AM10" s="3">
        <v>3</v>
      </c>
      <c r="AN10" s="3">
        <v>7</v>
      </c>
      <c r="AO10" s="7">
        <v>0.21736111111111112</v>
      </c>
      <c r="AP10" s="7">
        <v>0.79374999999999996</v>
      </c>
      <c r="AQ10" s="7">
        <v>6.2500000000000003E-3</v>
      </c>
      <c r="AR10" s="7">
        <v>0.52430555555555558</v>
      </c>
      <c r="AS10" s="3" t="s">
        <v>59</v>
      </c>
      <c r="AT10" s="3">
        <v>48</v>
      </c>
      <c r="AU10" s="3">
        <v>1</v>
      </c>
      <c r="AV10" s="3">
        <v>1</v>
      </c>
      <c r="AW10" s="3" t="s">
        <v>60</v>
      </c>
      <c r="AX10" s="3">
        <v>19</v>
      </c>
    </row>
    <row r="11" spans="1:50" ht="15.75" customHeight="1" x14ac:dyDescent="0.25">
      <c r="A11" s="3" t="s">
        <v>72</v>
      </c>
      <c r="B11" s="3" t="s">
        <v>73</v>
      </c>
      <c r="C11" s="3" t="s">
        <v>52</v>
      </c>
      <c r="D11" s="3">
        <v>26.85</v>
      </c>
      <c r="E11" s="3">
        <v>80.917000000000002</v>
      </c>
      <c r="F11" s="3" t="s">
        <v>53</v>
      </c>
      <c r="G11" s="3">
        <v>1750250857</v>
      </c>
      <c r="H11" s="4">
        <f t="shared" ca="1" si="0"/>
        <v>46118.952512962962</v>
      </c>
      <c r="I11" s="5">
        <f t="shared" ca="1" si="1"/>
        <v>46118.952512962962</v>
      </c>
      <c r="J11" s="3">
        <v>1750377600</v>
      </c>
      <c r="K11" s="3">
        <v>36.799999999999997</v>
      </c>
      <c r="L11" s="3">
        <v>98.2</v>
      </c>
      <c r="M11" s="3">
        <v>28.4</v>
      </c>
      <c r="N11" s="3">
        <v>83</v>
      </c>
      <c r="O11" s="3">
        <v>32.9</v>
      </c>
      <c r="P11" s="3">
        <v>91.1</v>
      </c>
      <c r="Q11" s="3">
        <v>15</v>
      </c>
      <c r="R11" s="3">
        <v>24.1</v>
      </c>
      <c r="S11" s="3">
        <v>8.8800000000000008</v>
      </c>
      <c r="T11" s="3">
        <v>0.35</v>
      </c>
      <c r="U11" s="3">
        <v>0</v>
      </c>
      <c r="V11" s="3">
        <v>9.6999999999999993</v>
      </c>
      <c r="W11" s="3">
        <v>6</v>
      </c>
      <c r="X11" s="3">
        <v>57</v>
      </c>
      <c r="Y11" s="3">
        <v>1</v>
      </c>
      <c r="Z11" s="3">
        <v>84</v>
      </c>
      <c r="AA11" s="3">
        <v>0</v>
      </c>
      <c r="AB11" s="3">
        <v>0</v>
      </c>
      <c r="AC11" s="3" t="s">
        <v>61</v>
      </c>
      <c r="AD11" s="6" t="s">
        <v>62</v>
      </c>
      <c r="AE11" s="3">
        <v>1189</v>
      </c>
      <c r="AF11" s="3">
        <v>1.9</v>
      </c>
      <c r="AG11" s="3">
        <v>629.07708333333301</v>
      </c>
      <c r="AH11" s="3">
        <v>19.078125</v>
      </c>
      <c r="AI11" s="3">
        <v>106.041666666667</v>
      </c>
      <c r="AJ11" s="3">
        <v>11.6704166666667</v>
      </c>
      <c r="AK11" s="3">
        <v>30.131875000000001</v>
      </c>
      <c r="AL11" s="3">
        <v>30.956666666666699</v>
      </c>
      <c r="AM11" s="3">
        <v>2</v>
      </c>
      <c r="AN11" s="3">
        <v>3</v>
      </c>
      <c r="AO11" s="7">
        <v>0.21736111111111112</v>
      </c>
      <c r="AP11" s="7">
        <v>0.79374999999999996</v>
      </c>
      <c r="AQ11" s="7">
        <v>2.9166666666666667E-2</v>
      </c>
      <c r="AR11" s="7">
        <v>0.56874999999999998</v>
      </c>
      <c r="AS11" s="3" t="s">
        <v>59</v>
      </c>
      <c r="AT11" s="3">
        <v>37</v>
      </c>
      <c r="AU11" s="3">
        <v>1</v>
      </c>
      <c r="AV11" s="3">
        <v>1</v>
      </c>
      <c r="AW11" s="3" t="s">
        <v>63</v>
      </c>
      <c r="AX11" s="3">
        <v>20</v>
      </c>
    </row>
    <row r="12" spans="1:50" ht="15.75" customHeight="1" x14ac:dyDescent="0.25">
      <c r="A12" s="3" t="s">
        <v>72</v>
      </c>
      <c r="B12" s="3" t="s">
        <v>73</v>
      </c>
      <c r="C12" s="3" t="s">
        <v>52</v>
      </c>
      <c r="D12" s="3">
        <v>26.85</v>
      </c>
      <c r="E12" s="3">
        <v>80.917000000000002</v>
      </c>
      <c r="F12" s="3" t="s">
        <v>53</v>
      </c>
      <c r="G12" s="3">
        <v>1750250857</v>
      </c>
      <c r="H12" s="4">
        <f t="shared" ca="1" si="0"/>
        <v>46118.952512962962</v>
      </c>
      <c r="I12" s="5">
        <f t="shared" ca="1" si="1"/>
        <v>46118.952512962962</v>
      </c>
      <c r="J12" s="3">
        <v>1750464000</v>
      </c>
      <c r="K12" s="3">
        <v>37.4</v>
      </c>
      <c r="L12" s="3">
        <v>99.3</v>
      </c>
      <c r="M12" s="3">
        <v>31.5</v>
      </c>
      <c r="N12" s="3">
        <v>88.7</v>
      </c>
      <c r="O12" s="3">
        <v>35</v>
      </c>
      <c r="P12" s="3">
        <v>94.9</v>
      </c>
      <c r="Q12" s="3">
        <v>10.1</v>
      </c>
      <c r="R12" s="3">
        <v>16.2</v>
      </c>
      <c r="S12" s="3">
        <v>0.3</v>
      </c>
      <c r="T12" s="3">
        <v>0.01</v>
      </c>
      <c r="U12" s="3">
        <v>0</v>
      </c>
      <c r="V12" s="3">
        <v>10</v>
      </c>
      <c r="W12" s="3">
        <v>6</v>
      </c>
      <c r="X12" s="3">
        <v>48</v>
      </c>
      <c r="Y12" s="3">
        <v>1</v>
      </c>
      <c r="Z12" s="3">
        <v>86</v>
      </c>
      <c r="AA12" s="3">
        <v>0</v>
      </c>
      <c r="AB12" s="3">
        <v>0</v>
      </c>
      <c r="AC12" s="3" t="s">
        <v>64</v>
      </c>
      <c r="AD12" s="6" t="s">
        <v>65</v>
      </c>
      <c r="AE12" s="3">
        <v>1063</v>
      </c>
      <c r="AF12" s="3">
        <v>2.5</v>
      </c>
      <c r="AG12" s="3">
        <v>769.83124999999995</v>
      </c>
      <c r="AH12" s="3">
        <v>19.178333333333299</v>
      </c>
      <c r="AI12" s="3">
        <v>115.958333333333</v>
      </c>
      <c r="AJ12" s="3">
        <v>11.9247916666667</v>
      </c>
      <c r="AK12" s="3">
        <v>33.3616666666667</v>
      </c>
      <c r="AL12" s="3">
        <v>33.431041666666701</v>
      </c>
      <c r="AM12" s="3">
        <v>2</v>
      </c>
      <c r="AN12" s="3">
        <v>3</v>
      </c>
      <c r="AO12" s="7">
        <v>0.21736111111111112</v>
      </c>
      <c r="AP12" s="7">
        <v>0.79374999999999996</v>
      </c>
      <c r="AQ12" s="7">
        <v>5.347222222222222E-2</v>
      </c>
      <c r="AR12" s="7">
        <v>0.61388888888888893</v>
      </c>
      <c r="AS12" s="3" t="s">
        <v>59</v>
      </c>
      <c r="AT12" s="3">
        <v>26</v>
      </c>
      <c r="AU12" s="3">
        <v>1</v>
      </c>
      <c r="AV12" s="3">
        <v>1</v>
      </c>
      <c r="AW12" s="3" t="s">
        <v>66</v>
      </c>
      <c r="AX12" s="3">
        <v>21</v>
      </c>
    </row>
    <row r="13" spans="1:50" ht="15.75" customHeight="1" x14ac:dyDescent="0.25">
      <c r="A13" s="3" t="s">
        <v>72</v>
      </c>
      <c r="B13" s="3" t="s">
        <v>73</v>
      </c>
      <c r="C13" s="3" t="s">
        <v>52</v>
      </c>
      <c r="D13" s="3">
        <v>26.85</v>
      </c>
      <c r="E13" s="3">
        <v>80.917000000000002</v>
      </c>
      <c r="F13" s="3" t="s">
        <v>53</v>
      </c>
      <c r="G13" s="3">
        <v>1750250857</v>
      </c>
      <c r="H13" s="4">
        <f t="shared" ca="1" si="0"/>
        <v>46118.952512962962</v>
      </c>
      <c r="I13" s="5">
        <f t="shared" ca="1" si="1"/>
        <v>46118.952512962962</v>
      </c>
      <c r="J13" s="3">
        <v>1750550400</v>
      </c>
      <c r="K13" s="3">
        <v>39</v>
      </c>
      <c r="L13" s="3">
        <v>102.2</v>
      </c>
      <c r="M13" s="3">
        <v>29</v>
      </c>
      <c r="N13" s="3">
        <v>84.3</v>
      </c>
      <c r="O13" s="3">
        <v>34.5</v>
      </c>
      <c r="P13" s="3">
        <v>94.1</v>
      </c>
      <c r="Q13" s="3">
        <v>11.4</v>
      </c>
      <c r="R13" s="3">
        <v>18.399999999999999</v>
      </c>
      <c r="S13" s="3">
        <v>12.57</v>
      </c>
      <c r="T13" s="3">
        <v>0.49</v>
      </c>
      <c r="U13" s="3">
        <v>0</v>
      </c>
      <c r="V13" s="3">
        <v>9.3000000000000007</v>
      </c>
      <c r="W13" s="3">
        <v>5</v>
      </c>
      <c r="X13" s="3">
        <v>51</v>
      </c>
      <c r="Y13" s="3">
        <v>1</v>
      </c>
      <c r="Z13" s="3">
        <v>87</v>
      </c>
      <c r="AA13" s="3">
        <v>0</v>
      </c>
      <c r="AB13" s="3">
        <v>0</v>
      </c>
      <c r="AC13" s="3" t="s">
        <v>61</v>
      </c>
      <c r="AD13" s="6" t="s">
        <v>62</v>
      </c>
      <c r="AE13" s="3">
        <v>1189</v>
      </c>
      <c r="AF13" s="3">
        <v>2.5</v>
      </c>
      <c r="AG13" s="3">
        <v>662.60833333333301</v>
      </c>
      <c r="AH13" s="3">
        <v>11.1</v>
      </c>
      <c r="AI13" s="3">
        <v>144</v>
      </c>
      <c r="AJ13" s="3">
        <v>9.1883333333333308</v>
      </c>
      <c r="AK13" s="3">
        <v>30.216666666666701</v>
      </c>
      <c r="AL13" s="3">
        <v>30.2783333333333</v>
      </c>
      <c r="AM13" s="3">
        <v>2</v>
      </c>
      <c r="AN13" s="3">
        <v>3</v>
      </c>
      <c r="AO13" s="7">
        <v>0.21805555555555556</v>
      </c>
      <c r="AP13" s="7">
        <v>0.79374999999999996</v>
      </c>
      <c r="AQ13" s="7">
        <v>8.1250000000000003E-2</v>
      </c>
      <c r="AR13" s="7">
        <v>0.66249999999999998</v>
      </c>
      <c r="AS13" s="3" t="s">
        <v>59</v>
      </c>
      <c r="AT13" s="3">
        <v>16</v>
      </c>
      <c r="AU13" s="3">
        <v>1</v>
      </c>
      <c r="AV13" s="3">
        <v>1</v>
      </c>
      <c r="AW13" s="3" t="s">
        <v>69</v>
      </c>
      <c r="AX13" s="3">
        <v>22</v>
      </c>
    </row>
    <row r="14" spans="1:50" ht="15.75" customHeight="1" x14ac:dyDescent="0.25">
      <c r="A14" s="3" t="s">
        <v>72</v>
      </c>
      <c r="B14" s="3" t="s">
        <v>73</v>
      </c>
      <c r="C14" s="3" t="s">
        <v>52</v>
      </c>
      <c r="D14" s="3">
        <v>26.85</v>
      </c>
      <c r="E14" s="3">
        <v>80.917000000000002</v>
      </c>
      <c r="F14" s="3" t="s">
        <v>53</v>
      </c>
      <c r="G14" s="3">
        <v>1750250857</v>
      </c>
      <c r="H14" s="4">
        <f t="shared" ca="1" si="0"/>
        <v>46118.952512962962</v>
      </c>
      <c r="I14" s="5">
        <f t="shared" ca="1" si="1"/>
        <v>46118.952512962962</v>
      </c>
      <c r="J14" s="3">
        <v>1750636800</v>
      </c>
      <c r="K14" s="3">
        <v>36.1</v>
      </c>
      <c r="L14" s="3">
        <v>97</v>
      </c>
      <c r="M14" s="3">
        <v>26.3</v>
      </c>
      <c r="N14" s="3">
        <v>79.3</v>
      </c>
      <c r="O14" s="3">
        <v>31</v>
      </c>
      <c r="P14" s="3">
        <v>87.7</v>
      </c>
      <c r="Q14" s="3">
        <v>13.2</v>
      </c>
      <c r="R14" s="3">
        <v>21.2</v>
      </c>
      <c r="S14" s="3">
        <v>43.09</v>
      </c>
      <c r="T14" s="3">
        <v>1.7</v>
      </c>
      <c r="U14" s="3">
        <v>0</v>
      </c>
      <c r="V14" s="3">
        <v>8.8000000000000007</v>
      </c>
      <c r="W14" s="3">
        <v>5</v>
      </c>
      <c r="X14" s="3">
        <v>66</v>
      </c>
      <c r="Y14" s="3">
        <v>1</v>
      </c>
      <c r="Z14" s="3">
        <v>81</v>
      </c>
      <c r="AA14" s="3">
        <v>0</v>
      </c>
      <c r="AB14" s="3">
        <v>0</v>
      </c>
      <c r="AC14" s="3" t="s">
        <v>54</v>
      </c>
      <c r="AD14" s="6" t="s">
        <v>55</v>
      </c>
      <c r="AE14" s="3">
        <v>1195</v>
      </c>
      <c r="AF14" s="3">
        <v>7</v>
      </c>
      <c r="AO14" s="7">
        <v>0.21805555555555556</v>
      </c>
      <c r="AP14" s="7">
        <v>0.7944444444444444</v>
      </c>
      <c r="AQ14" s="7">
        <v>0.1125</v>
      </c>
      <c r="AR14" s="7">
        <v>0.71180555555555558</v>
      </c>
      <c r="AS14" s="3" t="s">
        <v>59</v>
      </c>
      <c r="AT14" s="3">
        <v>9</v>
      </c>
      <c r="AU14" s="3">
        <v>1</v>
      </c>
      <c r="AV14" s="3">
        <v>1</v>
      </c>
      <c r="AW14" s="3" t="s">
        <v>70</v>
      </c>
      <c r="AX14" s="3">
        <v>23</v>
      </c>
    </row>
    <row r="15" spans="1:50" ht="15.75" customHeight="1" x14ac:dyDescent="0.25">
      <c r="A15" s="3" t="s">
        <v>72</v>
      </c>
      <c r="B15" s="3" t="s">
        <v>73</v>
      </c>
      <c r="C15" s="3" t="s">
        <v>52</v>
      </c>
      <c r="D15" s="3">
        <v>26.85</v>
      </c>
      <c r="E15" s="3">
        <v>80.917000000000002</v>
      </c>
      <c r="F15" s="3" t="s">
        <v>53</v>
      </c>
      <c r="G15" s="3">
        <v>1750250857</v>
      </c>
      <c r="H15" s="4">
        <f t="shared" ca="1" si="0"/>
        <v>46118.952512962962</v>
      </c>
      <c r="I15" s="5">
        <f t="shared" ca="1" si="1"/>
        <v>46118.952512962962</v>
      </c>
      <c r="J15" s="3">
        <v>1750723200</v>
      </c>
      <c r="K15" s="3">
        <v>29.4</v>
      </c>
      <c r="L15" s="3">
        <v>85</v>
      </c>
      <c r="M15" s="3">
        <v>25.8</v>
      </c>
      <c r="N15" s="3">
        <v>78.400000000000006</v>
      </c>
      <c r="O15" s="3">
        <v>27.5</v>
      </c>
      <c r="P15" s="3">
        <v>81.5</v>
      </c>
      <c r="Q15" s="3">
        <v>12.8</v>
      </c>
      <c r="R15" s="3">
        <v>20.5</v>
      </c>
      <c r="S15" s="3">
        <v>13.54</v>
      </c>
      <c r="T15" s="3">
        <v>0.53</v>
      </c>
      <c r="U15" s="3">
        <v>0</v>
      </c>
      <c r="V15" s="3">
        <v>9</v>
      </c>
      <c r="W15" s="3">
        <v>5</v>
      </c>
      <c r="X15" s="3">
        <v>84</v>
      </c>
      <c r="Y15" s="3">
        <v>1</v>
      </c>
      <c r="Z15" s="3">
        <v>85</v>
      </c>
      <c r="AA15" s="3">
        <v>0</v>
      </c>
      <c r="AB15" s="3">
        <v>0</v>
      </c>
      <c r="AC15" s="3" t="s">
        <v>61</v>
      </c>
      <c r="AD15" s="6" t="s">
        <v>62</v>
      </c>
      <c r="AE15" s="3">
        <v>1189</v>
      </c>
      <c r="AF15" s="3">
        <v>6</v>
      </c>
      <c r="AO15" s="7">
        <v>0.21805555555555556</v>
      </c>
      <c r="AP15" s="7">
        <v>0.7944444444444444</v>
      </c>
      <c r="AQ15" s="7">
        <v>0.15</v>
      </c>
      <c r="AR15" s="7">
        <v>0.76041666666666663</v>
      </c>
      <c r="AS15" s="3" t="s">
        <v>59</v>
      </c>
      <c r="AT15" s="3">
        <v>3</v>
      </c>
      <c r="AU15" s="3">
        <v>1</v>
      </c>
      <c r="AV15" s="3">
        <v>1</v>
      </c>
      <c r="AW15" s="3" t="s">
        <v>71</v>
      </c>
      <c r="AX15" s="3">
        <v>24</v>
      </c>
    </row>
    <row r="16" spans="1:50" ht="15.75" customHeight="1" x14ac:dyDescent="0.25">
      <c r="A16" s="3" t="s">
        <v>74</v>
      </c>
      <c r="B16" s="3" t="s">
        <v>51</v>
      </c>
      <c r="C16" s="3" t="s">
        <v>52</v>
      </c>
      <c r="D16" s="3">
        <v>26.45</v>
      </c>
      <c r="E16" s="3">
        <v>74.633300000000006</v>
      </c>
      <c r="F16" s="3" t="s">
        <v>53</v>
      </c>
      <c r="G16" s="3">
        <v>1750250856</v>
      </c>
      <c r="H16" s="4">
        <f t="shared" ca="1" si="0"/>
        <v>46118.952512962962</v>
      </c>
      <c r="I16" s="5">
        <f t="shared" ca="1" si="1"/>
        <v>46118.952512962962</v>
      </c>
      <c r="J16" s="3">
        <v>1750204800</v>
      </c>
      <c r="K16" s="3">
        <v>32.799999999999997</v>
      </c>
      <c r="L16" s="3">
        <v>91</v>
      </c>
      <c r="M16" s="3">
        <v>27.8</v>
      </c>
      <c r="N16" s="3">
        <v>82</v>
      </c>
      <c r="O16" s="3">
        <v>30.8</v>
      </c>
      <c r="P16" s="3">
        <v>87.5</v>
      </c>
      <c r="Q16" s="3">
        <v>11.4</v>
      </c>
      <c r="R16" s="3">
        <v>18.399999999999999</v>
      </c>
      <c r="S16" s="3">
        <v>10.97</v>
      </c>
      <c r="T16" s="3">
        <v>0.43</v>
      </c>
      <c r="U16" s="3">
        <v>0</v>
      </c>
      <c r="V16" s="3">
        <v>9.8000000000000007</v>
      </c>
      <c r="W16" s="3">
        <v>6</v>
      </c>
      <c r="X16" s="3">
        <v>61</v>
      </c>
      <c r="Y16" s="3">
        <v>1</v>
      </c>
      <c r="Z16" s="3">
        <v>89</v>
      </c>
      <c r="AA16" s="3">
        <v>0</v>
      </c>
      <c r="AB16" s="3">
        <v>0</v>
      </c>
      <c r="AC16" s="3" t="s">
        <v>61</v>
      </c>
      <c r="AD16" s="6" t="s">
        <v>62</v>
      </c>
      <c r="AE16" s="3">
        <v>1189</v>
      </c>
      <c r="AF16" s="3">
        <v>2.2000000000000002</v>
      </c>
      <c r="AG16" s="3">
        <v>461.88333333333298</v>
      </c>
      <c r="AH16" s="3">
        <v>18.022083333333299</v>
      </c>
      <c r="AI16" s="3">
        <v>70.8333333333333</v>
      </c>
      <c r="AJ16" s="3">
        <v>9.6739583333333297</v>
      </c>
      <c r="AK16" s="3">
        <v>28.320416666666699</v>
      </c>
      <c r="AL16" s="3">
        <v>30.686875000000001</v>
      </c>
      <c r="AM16" s="3">
        <v>2</v>
      </c>
      <c r="AN16" s="3">
        <v>3</v>
      </c>
      <c r="AO16" s="7">
        <v>0.23541666666666666</v>
      </c>
      <c r="AP16" s="7">
        <v>0.81041666666666667</v>
      </c>
      <c r="AQ16" s="7">
        <v>1.3888888888888889E-3</v>
      </c>
      <c r="AR16" s="7">
        <v>0.50069444444444444</v>
      </c>
      <c r="AS16" s="3" t="s">
        <v>57</v>
      </c>
      <c r="AT16" s="3">
        <v>59</v>
      </c>
      <c r="AU16" s="3">
        <v>0</v>
      </c>
      <c r="AV16" s="3">
        <v>0</v>
      </c>
      <c r="AW16" s="3" t="s">
        <v>58</v>
      </c>
      <c r="AX16" s="3">
        <v>18</v>
      </c>
    </row>
    <row r="17" spans="1:50" ht="15.75" customHeight="1" x14ac:dyDescent="0.25">
      <c r="A17" s="3" t="s">
        <v>74</v>
      </c>
      <c r="B17" s="3" t="s">
        <v>51</v>
      </c>
      <c r="C17" s="3" t="s">
        <v>52</v>
      </c>
      <c r="D17" s="3">
        <v>26.45</v>
      </c>
      <c r="E17" s="3">
        <v>74.633300000000006</v>
      </c>
      <c r="F17" s="3" t="s">
        <v>53</v>
      </c>
      <c r="G17" s="3">
        <v>1750250856</v>
      </c>
      <c r="H17" s="4">
        <f t="shared" ca="1" si="0"/>
        <v>46118.952512962962</v>
      </c>
      <c r="I17" s="5">
        <f t="shared" ca="1" si="1"/>
        <v>46118.952512962962</v>
      </c>
      <c r="J17" s="3">
        <v>1750291200</v>
      </c>
      <c r="K17" s="3">
        <v>35</v>
      </c>
      <c r="L17" s="3">
        <v>95.1</v>
      </c>
      <c r="M17" s="3">
        <v>27.6</v>
      </c>
      <c r="N17" s="3">
        <v>81.7</v>
      </c>
      <c r="O17" s="3">
        <v>30.5</v>
      </c>
      <c r="P17" s="3">
        <v>86.9</v>
      </c>
      <c r="Q17" s="3">
        <v>16.600000000000001</v>
      </c>
      <c r="R17" s="3">
        <v>26.6</v>
      </c>
      <c r="S17" s="3">
        <v>12.77</v>
      </c>
      <c r="T17" s="3">
        <v>0.5</v>
      </c>
      <c r="U17" s="3">
        <v>0</v>
      </c>
      <c r="V17" s="3">
        <v>8.6</v>
      </c>
      <c r="W17" s="3">
        <v>5</v>
      </c>
      <c r="X17" s="3">
        <v>64</v>
      </c>
      <c r="Y17" s="3">
        <v>1</v>
      </c>
      <c r="Z17" s="3">
        <v>85</v>
      </c>
      <c r="AA17" s="3">
        <v>0</v>
      </c>
      <c r="AB17" s="3">
        <v>0</v>
      </c>
      <c r="AC17" s="3" t="s">
        <v>61</v>
      </c>
      <c r="AD17" s="6" t="s">
        <v>62</v>
      </c>
      <c r="AE17" s="3">
        <v>1189</v>
      </c>
      <c r="AF17" s="3">
        <v>2.2000000000000002</v>
      </c>
      <c r="AG17" s="3">
        <v>391.96875</v>
      </c>
      <c r="AH17" s="3">
        <v>9.3656249999999996</v>
      </c>
      <c r="AI17" s="3">
        <v>90.3333333333333</v>
      </c>
      <c r="AJ17" s="3">
        <v>5.4420833333333301</v>
      </c>
      <c r="AK17" s="3">
        <v>42.318750000000001</v>
      </c>
      <c r="AL17" s="3">
        <v>81.423124999999999</v>
      </c>
      <c r="AM17" s="3">
        <v>3</v>
      </c>
      <c r="AN17" s="3">
        <v>5</v>
      </c>
      <c r="AO17" s="7">
        <v>0.23541666666666666</v>
      </c>
      <c r="AP17" s="7">
        <v>0.81041666666666667</v>
      </c>
      <c r="AQ17" s="7">
        <v>2.361111111111111E-2</v>
      </c>
      <c r="AR17" s="7">
        <v>0.54305555555555551</v>
      </c>
      <c r="AS17" s="3" t="s">
        <v>59</v>
      </c>
      <c r="AT17" s="3">
        <v>48</v>
      </c>
      <c r="AU17" s="3">
        <v>1</v>
      </c>
      <c r="AV17" s="3">
        <v>0</v>
      </c>
      <c r="AW17" s="3" t="s">
        <v>60</v>
      </c>
      <c r="AX17" s="3">
        <v>19</v>
      </c>
    </row>
    <row r="18" spans="1:50" ht="15.75" customHeight="1" x14ac:dyDescent="0.25">
      <c r="A18" s="3" t="s">
        <v>74</v>
      </c>
      <c r="B18" s="3" t="s">
        <v>51</v>
      </c>
      <c r="C18" s="3" t="s">
        <v>52</v>
      </c>
      <c r="D18" s="3">
        <v>26.45</v>
      </c>
      <c r="E18" s="3">
        <v>74.633300000000006</v>
      </c>
      <c r="F18" s="3" t="s">
        <v>53</v>
      </c>
      <c r="G18" s="3">
        <v>1750250856</v>
      </c>
      <c r="H18" s="4">
        <f t="shared" ca="1" si="0"/>
        <v>46118.952512962962</v>
      </c>
      <c r="I18" s="5">
        <f t="shared" ca="1" si="1"/>
        <v>46118.952512962962</v>
      </c>
      <c r="J18" s="3">
        <v>1750377600</v>
      </c>
      <c r="K18" s="3">
        <v>31.1</v>
      </c>
      <c r="L18" s="3">
        <v>88</v>
      </c>
      <c r="M18" s="3">
        <v>26.5</v>
      </c>
      <c r="N18" s="3">
        <v>79.8</v>
      </c>
      <c r="O18" s="3">
        <v>28.8</v>
      </c>
      <c r="P18" s="3">
        <v>83.8</v>
      </c>
      <c r="Q18" s="3">
        <v>16.100000000000001</v>
      </c>
      <c r="R18" s="3">
        <v>25.9</v>
      </c>
      <c r="S18" s="3">
        <v>7.02</v>
      </c>
      <c r="T18" s="3">
        <v>0.28000000000000003</v>
      </c>
      <c r="U18" s="3">
        <v>0</v>
      </c>
      <c r="V18" s="3">
        <v>9.9</v>
      </c>
      <c r="W18" s="3">
        <v>6</v>
      </c>
      <c r="X18" s="3">
        <v>64</v>
      </c>
      <c r="Y18" s="3">
        <v>1</v>
      </c>
      <c r="Z18" s="3">
        <v>88</v>
      </c>
      <c r="AA18" s="3">
        <v>0</v>
      </c>
      <c r="AB18" s="3">
        <v>0</v>
      </c>
      <c r="AC18" s="3" t="s">
        <v>61</v>
      </c>
      <c r="AD18" s="6" t="s">
        <v>62</v>
      </c>
      <c r="AE18" s="3">
        <v>1189</v>
      </c>
      <c r="AF18" s="3">
        <v>1.7</v>
      </c>
      <c r="AG18" s="3">
        <v>283.82083333333298</v>
      </c>
      <c r="AH18" s="3">
        <v>9.2885416666666707</v>
      </c>
      <c r="AI18" s="3">
        <v>68.4583333333333</v>
      </c>
      <c r="AJ18" s="3">
        <v>6.5752083333333298</v>
      </c>
      <c r="AK18" s="3">
        <v>40.430208333333297</v>
      </c>
      <c r="AL18" s="3">
        <v>123.479791666667</v>
      </c>
      <c r="AM18" s="3">
        <v>3</v>
      </c>
      <c r="AN18" s="3">
        <v>4</v>
      </c>
      <c r="AO18" s="7">
        <v>0.23541666666666666</v>
      </c>
      <c r="AP18" s="7">
        <v>0.81041666666666667</v>
      </c>
      <c r="AQ18" s="7">
        <v>4.7222222222222221E-2</v>
      </c>
      <c r="AR18" s="7">
        <v>0.58611111111111114</v>
      </c>
      <c r="AS18" s="3" t="s">
        <v>59</v>
      </c>
      <c r="AT18" s="3">
        <v>37</v>
      </c>
      <c r="AU18" s="3">
        <v>1</v>
      </c>
      <c r="AV18" s="3">
        <v>0</v>
      </c>
      <c r="AW18" s="3" t="s">
        <v>63</v>
      </c>
      <c r="AX18" s="3">
        <v>20</v>
      </c>
    </row>
    <row r="19" spans="1:50" ht="15.75" customHeight="1" x14ac:dyDescent="0.25">
      <c r="A19" s="3" t="s">
        <v>74</v>
      </c>
      <c r="B19" s="3" t="s">
        <v>51</v>
      </c>
      <c r="C19" s="3" t="s">
        <v>52</v>
      </c>
      <c r="D19" s="3">
        <v>26.45</v>
      </c>
      <c r="E19" s="3">
        <v>74.633300000000006</v>
      </c>
      <c r="F19" s="3" t="s">
        <v>53</v>
      </c>
      <c r="G19" s="3">
        <v>1750250856</v>
      </c>
      <c r="H19" s="4">
        <f t="shared" ca="1" si="0"/>
        <v>46118.952512962962</v>
      </c>
      <c r="I19" s="5">
        <f t="shared" ca="1" si="1"/>
        <v>46118.952512962962</v>
      </c>
      <c r="J19" s="3">
        <v>1750464000</v>
      </c>
      <c r="K19" s="3">
        <v>31.4</v>
      </c>
      <c r="L19" s="3">
        <v>88.5</v>
      </c>
      <c r="M19" s="3">
        <v>26.9</v>
      </c>
      <c r="N19" s="3">
        <v>80.5</v>
      </c>
      <c r="O19" s="3">
        <v>29</v>
      </c>
      <c r="P19" s="3">
        <v>84.1</v>
      </c>
      <c r="Q19" s="3">
        <v>11.2</v>
      </c>
      <c r="R19" s="3">
        <v>18</v>
      </c>
      <c r="S19" s="3">
        <v>0.5</v>
      </c>
      <c r="T19" s="3">
        <v>0.02</v>
      </c>
      <c r="U19" s="3">
        <v>0</v>
      </c>
      <c r="V19" s="3">
        <v>10</v>
      </c>
      <c r="W19" s="3">
        <v>6</v>
      </c>
      <c r="X19" s="3">
        <v>61</v>
      </c>
      <c r="Y19" s="3">
        <v>1</v>
      </c>
      <c r="Z19" s="3">
        <v>80</v>
      </c>
      <c r="AA19" s="3">
        <v>0</v>
      </c>
      <c r="AB19" s="3">
        <v>0</v>
      </c>
      <c r="AC19" s="3" t="s">
        <v>64</v>
      </c>
      <c r="AD19" s="6" t="s">
        <v>65</v>
      </c>
      <c r="AE19" s="3">
        <v>1063</v>
      </c>
      <c r="AF19" s="3">
        <v>2.1</v>
      </c>
      <c r="AG19" s="3">
        <v>324.36666666666702</v>
      </c>
      <c r="AH19" s="3">
        <v>8.3018750000000008</v>
      </c>
      <c r="AI19" s="3">
        <v>76.3333333333333</v>
      </c>
      <c r="AJ19" s="3">
        <v>6.66</v>
      </c>
      <c r="AK19" s="3">
        <v>35.1191666666667</v>
      </c>
      <c r="AL19" s="3">
        <v>98.759166666666701</v>
      </c>
      <c r="AM19" s="3">
        <v>2</v>
      </c>
      <c r="AN19" s="3">
        <v>3</v>
      </c>
      <c r="AO19" s="7">
        <v>0.2361111111111111</v>
      </c>
      <c r="AP19" s="7">
        <v>0.81111111111111112</v>
      </c>
      <c r="AQ19" s="7">
        <v>7.1527777777777773E-2</v>
      </c>
      <c r="AR19" s="7">
        <v>0.63194444444444442</v>
      </c>
      <c r="AS19" s="3" t="s">
        <v>59</v>
      </c>
      <c r="AT19" s="3">
        <v>26</v>
      </c>
      <c r="AU19" s="3">
        <v>1</v>
      </c>
      <c r="AV19" s="3">
        <v>0</v>
      </c>
      <c r="AW19" s="3" t="s">
        <v>66</v>
      </c>
      <c r="AX19" s="3">
        <v>21</v>
      </c>
    </row>
    <row r="20" spans="1:50" ht="15.75" customHeight="1" x14ac:dyDescent="0.25">
      <c r="A20" s="3" t="s">
        <v>74</v>
      </c>
      <c r="B20" s="3" t="s">
        <v>51</v>
      </c>
      <c r="C20" s="3" t="s">
        <v>52</v>
      </c>
      <c r="D20" s="3">
        <v>26.45</v>
      </c>
      <c r="E20" s="3">
        <v>74.633300000000006</v>
      </c>
      <c r="F20" s="3" t="s">
        <v>53</v>
      </c>
      <c r="G20" s="3">
        <v>1750250856</v>
      </c>
      <c r="H20" s="4">
        <f t="shared" ca="1" si="0"/>
        <v>46118.952512962962</v>
      </c>
      <c r="I20" s="5">
        <f t="shared" ca="1" si="1"/>
        <v>46118.952512962962</v>
      </c>
      <c r="J20" s="3">
        <v>1750550400</v>
      </c>
      <c r="K20" s="3">
        <v>35.5</v>
      </c>
      <c r="L20" s="3">
        <v>95.9</v>
      </c>
      <c r="M20" s="3">
        <v>27.3</v>
      </c>
      <c r="N20" s="3">
        <v>81.099999999999994</v>
      </c>
      <c r="O20" s="3">
        <v>31.3</v>
      </c>
      <c r="P20" s="3">
        <v>88.4</v>
      </c>
      <c r="Q20" s="3">
        <v>16.3</v>
      </c>
      <c r="R20" s="3">
        <v>26.3</v>
      </c>
      <c r="S20" s="3">
        <v>0</v>
      </c>
      <c r="T20" s="3">
        <v>0</v>
      </c>
      <c r="U20" s="3">
        <v>0</v>
      </c>
      <c r="V20" s="3">
        <v>10</v>
      </c>
      <c r="W20" s="3">
        <v>6</v>
      </c>
      <c r="X20" s="3">
        <v>53</v>
      </c>
      <c r="Y20" s="3">
        <v>0</v>
      </c>
      <c r="Z20" s="3">
        <v>0</v>
      </c>
      <c r="AA20" s="3">
        <v>0</v>
      </c>
      <c r="AB20" s="3">
        <v>0</v>
      </c>
      <c r="AC20" s="3" t="s">
        <v>67</v>
      </c>
      <c r="AD20" s="6" t="s">
        <v>68</v>
      </c>
      <c r="AE20" s="3">
        <v>1003</v>
      </c>
      <c r="AF20" s="3">
        <v>3.6</v>
      </c>
      <c r="AG20" s="3">
        <v>304.32499999999999</v>
      </c>
      <c r="AH20" s="3">
        <v>6.1820833333333303</v>
      </c>
      <c r="AI20" s="3">
        <v>81.75</v>
      </c>
      <c r="AJ20" s="3">
        <v>7.1224999999999996</v>
      </c>
      <c r="AK20" s="3">
        <v>30.155000000000001</v>
      </c>
      <c r="AL20" s="3">
        <v>81.091666666666697</v>
      </c>
      <c r="AM20" s="3">
        <v>2</v>
      </c>
      <c r="AN20" s="3">
        <v>3</v>
      </c>
      <c r="AO20" s="7">
        <v>0.2361111111111111</v>
      </c>
      <c r="AP20" s="7">
        <v>0.81111111111111112</v>
      </c>
      <c r="AQ20" s="7">
        <v>9.930555555555555E-2</v>
      </c>
      <c r="AR20" s="7">
        <v>0.67986111111111114</v>
      </c>
      <c r="AS20" s="3" t="s">
        <v>59</v>
      </c>
      <c r="AT20" s="3">
        <v>16</v>
      </c>
      <c r="AU20" s="3">
        <v>1</v>
      </c>
      <c r="AV20" s="3">
        <v>0</v>
      </c>
      <c r="AW20" s="3" t="s">
        <v>69</v>
      </c>
      <c r="AX20" s="3">
        <v>22</v>
      </c>
    </row>
    <row r="21" spans="1:50" ht="12.5" x14ac:dyDescent="0.25">
      <c r="A21" s="3" t="s">
        <v>74</v>
      </c>
      <c r="B21" s="3" t="s">
        <v>51</v>
      </c>
      <c r="C21" s="3" t="s">
        <v>52</v>
      </c>
      <c r="D21" s="3">
        <v>26.45</v>
      </c>
      <c r="E21" s="3">
        <v>74.633300000000006</v>
      </c>
      <c r="F21" s="3" t="s">
        <v>53</v>
      </c>
      <c r="G21" s="3">
        <v>1750250856</v>
      </c>
      <c r="H21" s="4">
        <f t="shared" ca="1" si="0"/>
        <v>46118.952512962962</v>
      </c>
      <c r="I21" s="5">
        <f t="shared" ca="1" si="1"/>
        <v>46118.952512962962</v>
      </c>
      <c r="J21" s="3">
        <v>1750636800</v>
      </c>
      <c r="K21" s="3">
        <v>36.5</v>
      </c>
      <c r="L21" s="3">
        <v>97.7</v>
      </c>
      <c r="M21" s="3">
        <v>27.4</v>
      </c>
      <c r="N21" s="3">
        <v>81.3</v>
      </c>
      <c r="O21" s="3">
        <v>30.7</v>
      </c>
      <c r="P21" s="3">
        <v>87.3</v>
      </c>
      <c r="Q21" s="3">
        <v>20.6</v>
      </c>
      <c r="R21" s="3">
        <v>33.1</v>
      </c>
      <c r="S21" s="3">
        <v>0.02</v>
      </c>
      <c r="T21" s="3">
        <v>0</v>
      </c>
      <c r="U21" s="3">
        <v>0</v>
      </c>
      <c r="V21" s="3">
        <v>10</v>
      </c>
      <c r="W21" s="3">
        <v>6</v>
      </c>
      <c r="X21" s="3">
        <v>58</v>
      </c>
      <c r="Y21" s="3">
        <v>0</v>
      </c>
      <c r="Z21" s="3">
        <v>0</v>
      </c>
      <c r="AA21" s="3">
        <v>0</v>
      </c>
      <c r="AB21" s="3">
        <v>0</v>
      </c>
      <c r="AC21" s="3" t="s">
        <v>67</v>
      </c>
      <c r="AD21" s="6" t="s">
        <v>68</v>
      </c>
      <c r="AE21" s="3">
        <v>1003</v>
      </c>
      <c r="AF21" s="3">
        <v>8</v>
      </c>
      <c r="AO21" s="7">
        <v>0.2361111111111111</v>
      </c>
      <c r="AP21" s="7">
        <v>0.81111111111111112</v>
      </c>
      <c r="AQ21" s="7">
        <v>0.13125000000000001</v>
      </c>
      <c r="AR21" s="7">
        <v>0.72916666666666663</v>
      </c>
      <c r="AS21" s="3" t="s">
        <v>59</v>
      </c>
      <c r="AT21" s="3">
        <v>9</v>
      </c>
      <c r="AU21" s="3">
        <v>1</v>
      </c>
      <c r="AV21" s="3">
        <v>0</v>
      </c>
      <c r="AW21" s="3" t="s">
        <v>70</v>
      </c>
      <c r="AX21" s="3">
        <v>23</v>
      </c>
    </row>
    <row r="22" spans="1:50" ht="12.5" x14ac:dyDescent="0.25">
      <c r="A22" s="3" t="s">
        <v>74</v>
      </c>
      <c r="B22" s="3" t="s">
        <v>51</v>
      </c>
      <c r="C22" s="3" t="s">
        <v>52</v>
      </c>
      <c r="D22" s="3">
        <v>26.45</v>
      </c>
      <c r="E22" s="3">
        <v>74.633300000000006</v>
      </c>
      <c r="F22" s="3" t="s">
        <v>53</v>
      </c>
      <c r="G22" s="3">
        <v>1750250856</v>
      </c>
      <c r="H22" s="4">
        <f t="shared" ca="1" si="0"/>
        <v>46118.952512962962</v>
      </c>
      <c r="I22" s="5">
        <f t="shared" ca="1" si="1"/>
        <v>46118.952512962962</v>
      </c>
      <c r="J22" s="3">
        <v>1750723200</v>
      </c>
      <c r="K22" s="3">
        <v>34.1</v>
      </c>
      <c r="L22" s="3">
        <v>93.4</v>
      </c>
      <c r="M22" s="3">
        <v>27.6</v>
      </c>
      <c r="N22" s="3">
        <v>81.7</v>
      </c>
      <c r="O22" s="3">
        <v>30.4</v>
      </c>
      <c r="P22" s="3">
        <v>86.7</v>
      </c>
      <c r="Q22" s="3">
        <v>19.899999999999999</v>
      </c>
      <c r="R22" s="3">
        <v>32</v>
      </c>
      <c r="S22" s="3">
        <v>0.01</v>
      </c>
      <c r="T22" s="3">
        <v>0</v>
      </c>
      <c r="U22" s="3">
        <v>0</v>
      </c>
      <c r="V22" s="3">
        <v>10</v>
      </c>
      <c r="W22" s="3">
        <v>6</v>
      </c>
      <c r="X22" s="3">
        <v>58</v>
      </c>
      <c r="Y22" s="3">
        <v>0</v>
      </c>
      <c r="Z22" s="3">
        <v>0</v>
      </c>
      <c r="AA22" s="3">
        <v>0</v>
      </c>
      <c r="AB22" s="3">
        <v>0</v>
      </c>
      <c r="AC22" s="3" t="s">
        <v>67</v>
      </c>
      <c r="AD22" s="6" t="s">
        <v>68</v>
      </c>
      <c r="AE22" s="3">
        <v>1003</v>
      </c>
      <c r="AF22" s="3">
        <v>8</v>
      </c>
      <c r="AO22" s="7">
        <v>0.2361111111111111</v>
      </c>
      <c r="AP22" s="7">
        <v>0.81111111111111112</v>
      </c>
      <c r="AQ22" s="7">
        <v>0.16875000000000001</v>
      </c>
      <c r="AR22" s="7">
        <v>0.77777777777777779</v>
      </c>
      <c r="AS22" s="3" t="s">
        <v>59</v>
      </c>
      <c r="AT22" s="3">
        <v>3</v>
      </c>
      <c r="AU22" s="3">
        <v>1</v>
      </c>
      <c r="AV22" s="3">
        <v>0</v>
      </c>
      <c r="AW22" s="3" t="s">
        <v>71</v>
      </c>
      <c r="AX22" s="3">
        <v>24</v>
      </c>
    </row>
    <row r="23" spans="1:50" ht="12.5" x14ac:dyDescent="0.25">
      <c r="A23" s="3" t="s">
        <v>75</v>
      </c>
      <c r="B23" s="3" t="s">
        <v>76</v>
      </c>
      <c r="C23" s="3" t="s">
        <v>52</v>
      </c>
      <c r="D23" s="3">
        <v>17.375299999999999</v>
      </c>
      <c r="E23" s="3">
        <v>78.474400000000003</v>
      </c>
      <c r="F23" s="3" t="s">
        <v>53</v>
      </c>
      <c r="G23" s="3">
        <v>1750250914</v>
      </c>
      <c r="H23" s="4">
        <f t="shared" ca="1" si="0"/>
        <v>46118.952512962962</v>
      </c>
      <c r="I23" s="5">
        <f t="shared" ca="1" si="1"/>
        <v>46118.952512962962</v>
      </c>
      <c r="J23" s="3">
        <v>1750204800</v>
      </c>
      <c r="K23" s="3">
        <v>31.3</v>
      </c>
      <c r="L23" s="3">
        <v>88.4</v>
      </c>
      <c r="M23" s="3">
        <v>24.4</v>
      </c>
      <c r="N23" s="3">
        <v>76</v>
      </c>
      <c r="O23" s="3">
        <v>27.8</v>
      </c>
      <c r="P23" s="3">
        <v>82</v>
      </c>
      <c r="Q23" s="3">
        <v>20.6</v>
      </c>
      <c r="R23" s="3">
        <v>33.1</v>
      </c>
      <c r="S23" s="3">
        <v>0.01</v>
      </c>
      <c r="T23" s="3">
        <v>0</v>
      </c>
      <c r="U23" s="3">
        <v>0</v>
      </c>
      <c r="V23" s="3">
        <v>10</v>
      </c>
      <c r="W23" s="3">
        <v>6</v>
      </c>
      <c r="X23" s="3">
        <v>62</v>
      </c>
      <c r="Y23" s="3">
        <v>0</v>
      </c>
      <c r="Z23" s="3">
        <v>0</v>
      </c>
      <c r="AA23" s="3">
        <v>0</v>
      </c>
      <c r="AB23" s="3">
        <v>0</v>
      </c>
      <c r="AC23" s="3" t="s">
        <v>67</v>
      </c>
      <c r="AD23" s="6" t="s">
        <v>68</v>
      </c>
      <c r="AE23" s="3">
        <v>1003</v>
      </c>
      <c r="AF23" s="3">
        <v>2.4</v>
      </c>
      <c r="AG23" s="3">
        <v>422.18541666666698</v>
      </c>
      <c r="AH23" s="3">
        <v>9.828125</v>
      </c>
      <c r="AI23" s="3">
        <v>60.1666666666667</v>
      </c>
      <c r="AJ23" s="3">
        <v>5.7041666666666702</v>
      </c>
      <c r="AK23" s="3">
        <v>13.358541666666699</v>
      </c>
      <c r="AL23" s="3">
        <v>25.021249999999998</v>
      </c>
      <c r="AM23" s="3">
        <v>1</v>
      </c>
      <c r="AN23" s="3">
        <v>2</v>
      </c>
      <c r="AO23" s="7">
        <v>0.23819444444444443</v>
      </c>
      <c r="AP23" s="7">
        <v>0.78611111111111109</v>
      </c>
      <c r="AQ23" s="3" t="s">
        <v>56</v>
      </c>
      <c r="AR23" s="7">
        <v>0.49166666666666664</v>
      </c>
      <c r="AS23" s="3" t="s">
        <v>57</v>
      </c>
      <c r="AT23" s="3">
        <v>59</v>
      </c>
      <c r="AU23" s="3">
        <v>1</v>
      </c>
      <c r="AV23" s="3">
        <v>0</v>
      </c>
      <c r="AW23" s="3" t="s">
        <v>58</v>
      </c>
      <c r="AX23" s="3">
        <v>18</v>
      </c>
    </row>
    <row r="24" spans="1:50" ht="12.5" x14ac:dyDescent="0.25">
      <c r="A24" s="3" t="s">
        <v>75</v>
      </c>
      <c r="B24" s="3" t="s">
        <v>76</v>
      </c>
      <c r="C24" s="3" t="s">
        <v>52</v>
      </c>
      <c r="D24" s="3">
        <v>17.375299999999999</v>
      </c>
      <c r="E24" s="3">
        <v>78.474400000000003</v>
      </c>
      <c r="F24" s="3" t="s">
        <v>53</v>
      </c>
      <c r="G24" s="3">
        <v>1750250914</v>
      </c>
      <c r="H24" s="4">
        <f t="shared" ca="1" si="0"/>
        <v>46118.952512962962</v>
      </c>
      <c r="I24" s="5">
        <f t="shared" ca="1" si="1"/>
        <v>46118.952512962962</v>
      </c>
      <c r="J24" s="3">
        <v>1750291200</v>
      </c>
      <c r="K24" s="3">
        <v>32</v>
      </c>
      <c r="L24" s="3">
        <v>89.6</v>
      </c>
      <c r="M24" s="3">
        <v>24.3</v>
      </c>
      <c r="N24" s="3">
        <v>75.7</v>
      </c>
      <c r="O24" s="3">
        <v>27.7</v>
      </c>
      <c r="P24" s="3">
        <v>81.8</v>
      </c>
      <c r="Q24" s="3">
        <v>22.1</v>
      </c>
      <c r="R24" s="3">
        <v>35.6</v>
      </c>
      <c r="S24" s="3">
        <v>0</v>
      </c>
      <c r="T24" s="3">
        <v>0</v>
      </c>
      <c r="U24" s="3">
        <v>0</v>
      </c>
      <c r="V24" s="3">
        <v>10</v>
      </c>
      <c r="W24" s="3">
        <v>6</v>
      </c>
      <c r="X24" s="3">
        <v>61</v>
      </c>
      <c r="Y24" s="3">
        <v>0</v>
      </c>
      <c r="Z24" s="3">
        <v>0</v>
      </c>
      <c r="AA24" s="3">
        <v>0</v>
      </c>
      <c r="AB24" s="3">
        <v>0</v>
      </c>
      <c r="AC24" s="3" t="s">
        <v>67</v>
      </c>
      <c r="AD24" s="6" t="s">
        <v>68</v>
      </c>
      <c r="AE24" s="3">
        <v>1003</v>
      </c>
      <c r="AF24" s="3">
        <v>1.5</v>
      </c>
      <c r="AG24" s="3">
        <v>404.379166666667</v>
      </c>
      <c r="AH24" s="3">
        <v>9.6431249999999995</v>
      </c>
      <c r="AI24" s="3">
        <v>58.875</v>
      </c>
      <c r="AJ24" s="3">
        <v>5.203125</v>
      </c>
      <c r="AK24" s="3">
        <v>13.2891666666667</v>
      </c>
      <c r="AL24" s="3">
        <v>23.664583333333301</v>
      </c>
      <c r="AM24" s="3">
        <v>1</v>
      </c>
      <c r="AN24" s="3">
        <v>2</v>
      </c>
      <c r="AO24" s="7">
        <v>0.23819444444444443</v>
      </c>
      <c r="AP24" s="7">
        <v>0.78680555555555554</v>
      </c>
      <c r="AQ24" s="7">
        <v>1.2500000000000001E-2</v>
      </c>
      <c r="AR24" s="7">
        <v>0.52986111111111112</v>
      </c>
      <c r="AS24" s="3" t="s">
        <v>59</v>
      </c>
      <c r="AT24" s="3">
        <v>48</v>
      </c>
      <c r="AU24" s="3">
        <v>1</v>
      </c>
      <c r="AV24" s="3">
        <v>0</v>
      </c>
      <c r="AW24" s="3" t="s">
        <v>60</v>
      </c>
      <c r="AX24" s="3">
        <v>19</v>
      </c>
    </row>
    <row r="25" spans="1:50" ht="12.5" x14ac:dyDescent="0.25">
      <c r="A25" s="3" t="s">
        <v>75</v>
      </c>
      <c r="B25" s="3" t="s">
        <v>76</v>
      </c>
      <c r="C25" s="3" t="s">
        <v>52</v>
      </c>
      <c r="D25" s="3">
        <v>17.375299999999999</v>
      </c>
      <c r="E25" s="3">
        <v>78.474400000000003</v>
      </c>
      <c r="F25" s="3" t="s">
        <v>53</v>
      </c>
      <c r="G25" s="3">
        <v>1750250914</v>
      </c>
      <c r="H25" s="4">
        <f t="shared" ca="1" si="0"/>
        <v>46118.952512962962</v>
      </c>
      <c r="I25" s="5">
        <f t="shared" ca="1" si="1"/>
        <v>46118.952512962962</v>
      </c>
      <c r="J25" s="3">
        <v>1750377600</v>
      </c>
      <c r="K25" s="3">
        <v>31.4</v>
      </c>
      <c r="L25" s="3">
        <v>88.5</v>
      </c>
      <c r="M25" s="3">
        <v>24.4</v>
      </c>
      <c r="N25" s="3">
        <v>75.900000000000006</v>
      </c>
      <c r="O25" s="3">
        <v>27.5</v>
      </c>
      <c r="P25" s="3">
        <v>81.5</v>
      </c>
      <c r="Q25" s="3">
        <v>20.6</v>
      </c>
      <c r="R25" s="3">
        <v>33.1</v>
      </c>
      <c r="S25" s="3">
        <v>0.36</v>
      </c>
      <c r="T25" s="3">
        <v>0.01</v>
      </c>
      <c r="U25" s="3">
        <v>0</v>
      </c>
      <c r="V25" s="3">
        <v>9.8000000000000007</v>
      </c>
      <c r="W25" s="3">
        <v>6</v>
      </c>
      <c r="X25" s="3">
        <v>62</v>
      </c>
      <c r="Y25" s="3">
        <v>1</v>
      </c>
      <c r="Z25" s="3">
        <v>84</v>
      </c>
      <c r="AA25" s="3">
        <v>0</v>
      </c>
      <c r="AB25" s="3">
        <v>0</v>
      </c>
      <c r="AC25" s="3" t="s">
        <v>64</v>
      </c>
      <c r="AD25" s="6" t="s">
        <v>65</v>
      </c>
      <c r="AE25" s="3">
        <v>1063</v>
      </c>
      <c r="AF25" s="3">
        <v>2</v>
      </c>
      <c r="AG25" s="3">
        <v>444.23124999999999</v>
      </c>
      <c r="AH25" s="3">
        <v>12.6647916666667</v>
      </c>
      <c r="AI25" s="3">
        <v>55.8333333333333</v>
      </c>
      <c r="AJ25" s="3">
        <v>6.359375</v>
      </c>
      <c r="AK25" s="3">
        <v>16.064166666666701</v>
      </c>
      <c r="AL25" s="3">
        <v>25.044374999999999</v>
      </c>
      <c r="AM25" s="3">
        <v>2</v>
      </c>
      <c r="AN25" s="3">
        <v>2</v>
      </c>
      <c r="AO25" s="7">
        <v>0.23819444444444443</v>
      </c>
      <c r="AP25" s="7">
        <v>0.78680555555555554</v>
      </c>
      <c r="AQ25" s="7">
        <v>3.9583333333333331E-2</v>
      </c>
      <c r="AR25" s="7">
        <v>0.57013888888888886</v>
      </c>
      <c r="AS25" s="3" t="s">
        <v>59</v>
      </c>
      <c r="AT25" s="3">
        <v>37</v>
      </c>
      <c r="AU25" s="3">
        <v>1</v>
      </c>
      <c r="AV25" s="3">
        <v>0</v>
      </c>
      <c r="AW25" s="3" t="s">
        <v>63</v>
      </c>
      <c r="AX25" s="3">
        <v>20</v>
      </c>
    </row>
    <row r="26" spans="1:50" ht="12.5" x14ac:dyDescent="0.25">
      <c r="A26" s="3" t="s">
        <v>75</v>
      </c>
      <c r="B26" s="3" t="s">
        <v>76</v>
      </c>
      <c r="C26" s="3" t="s">
        <v>52</v>
      </c>
      <c r="D26" s="3">
        <v>17.375299999999999</v>
      </c>
      <c r="E26" s="3">
        <v>78.474400000000003</v>
      </c>
      <c r="F26" s="3" t="s">
        <v>53</v>
      </c>
      <c r="G26" s="3">
        <v>1750250914</v>
      </c>
      <c r="H26" s="4">
        <f t="shared" ca="1" si="0"/>
        <v>46118.952512962962</v>
      </c>
      <c r="I26" s="5">
        <f t="shared" ca="1" si="1"/>
        <v>46118.952512962962</v>
      </c>
      <c r="J26" s="3">
        <v>1750464000</v>
      </c>
      <c r="K26" s="3">
        <v>32.799999999999997</v>
      </c>
      <c r="L26" s="3">
        <v>91.1</v>
      </c>
      <c r="M26" s="3">
        <v>24.6</v>
      </c>
      <c r="N26" s="3">
        <v>76.3</v>
      </c>
      <c r="O26" s="3">
        <v>28.6</v>
      </c>
      <c r="P26" s="3">
        <v>83.4</v>
      </c>
      <c r="Q26" s="3">
        <v>18.100000000000001</v>
      </c>
      <c r="R26" s="3">
        <v>29.2</v>
      </c>
      <c r="S26" s="3">
        <v>0.01</v>
      </c>
      <c r="T26" s="3">
        <v>0</v>
      </c>
      <c r="U26" s="3">
        <v>0</v>
      </c>
      <c r="V26" s="3">
        <v>10</v>
      </c>
      <c r="W26" s="3">
        <v>6</v>
      </c>
      <c r="X26" s="3">
        <v>58</v>
      </c>
      <c r="Y26" s="3">
        <v>0</v>
      </c>
      <c r="Z26" s="3">
        <v>0</v>
      </c>
      <c r="AA26" s="3">
        <v>0</v>
      </c>
      <c r="AB26" s="3">
        <v>0</v>
      </c>
      <c r="AC26" s="3" t="s">
        <v>67</v>
      </c>
      <c r="AD26" s="6" t="s">
        <v>68</v>
      </c>
      <c r="AE26" s="3">
        <v>1003</v>
      </c>
      <c r="AF26" s="3">
        <v>2.8</v>
      </c>
      <c r="AG26" s="3">
        <v>424.88333333333298</v>
      </c>
      <c r="AH26" s="3">
        <v>11.793749999999999</v>
      </c>
      <c r="AI26" s="3">
        <v>61.75</v>
      </c>
      <c r="AJ26" s="3">
        <v>5.98166666666667</v>
      </c>
      <c r="AK26" s="3">
        <v>17.2127083333333</v>
      </c>
      <c r="AL26" s="3">
        <v>29.245416666666699</v>
      </c>
      <c r="AM26" s="3">
        <v>2</v>
      </c>
      <c r="AN26" s="3">
        <v>2</v>
      </c>
      <c r="AO26" s="7">
        <v>0.23819444444444443</v>
      </c>
      <c r="AP26" s="7">
        <v>0.78680555555555554</v>
      </c>
      <c r="AQ26" s="7">
        <v>6.805555555555555E-2</v>
      </c>
      <c r="AR26" s="7">
        <v>0.6118055555555556</v>
      </c>
      <c r="AS26" s="3" t="s">
        <v>59</v>
      </c>
      <c r="AT26" s="3">
        <v>26</v>
      </c>
      <c r="AU26" s="3">
        <v>1</v>
      </c>
      <c r="AV26" s="3">
        <v>0</v>
      </c>
      <c r="AW26" s="3" t="s">
        <v>66</v>
      </c>
      <c r="AX26" s="3">
        <v>21</v>
      </c>
    </row>
    <row r="27" spans="1:50" ht="12.5" x14ac:dyDescent="0.25">
      <c r="A27" s="3" t="s">
        <v>75</v>
      </c>
      <c r="B27" s="3" t="s">
        <v>76</v>
      </c>
      <c r="C27" s="3" t="s">
        <v>52</v>
      </c>
      <c r="D27" s="3">
        <v>17.375299999999999</v>
      </c>
      <c r="E27" s="3">
        <v>78.474400000000003</v>
      </c>
      <c r="F27" s="3" t="s">
        <v>53</v>
      </c>
      <c r="G27" s="3">
        <v>1750250914</v>
      </c>
      <c r="H27" s="4">
        <f t="shared" ca="1" si="0"/>
        <v>46118.952512962962</v>
      </c>
      <c r="I27" s="5">
        <f t="shared" ca="1" si="1"/>
        <v>46118.952512962962</v>
      </c>
      <c r="J27" s="3">
        <v>1750550400</v>
      </c>
      <c r="K27" s="3">
        <v>35.1</v>
      </c>
      <c r="L27" s="3">
        <v>95.2</v>
      </c>
      <c r="M27" s="3">
        <v>24.6</v>
      </c>
      <c r="N27" s="3">
        <v>76.2</v>
      </c>
      <c r="O27" s="3">
        <v>29.3</v>
      </c>
      <c r="P27" s="3">
        <v>84.7</v>
      </c>
      <c r="Q27" s="3">
        <v>20.6</v>
      </c>
      <c r="R27" s="3">
        <v>33.1</v>
      </c>
      <c r="S27" s="3">
        <v>0.02</v>
      </c>
      <c r="T27" s="3">
        <v>0</v>
      </c>
      <c r="U27" s="3">
        <v>0</v>
      </c>
      <c r="V27" s="3">
        <v>10</v>
      </c>
      <c r="W27" s="3">
        <v>6</v>
      </c>
      <c r="X27" s="3">
        <v>53</v>
      </c>
      <c r="Y27" s="3">
        <v>0</v>
      </c>
      <c r="Z27" s="3">
        <v>0</v>
      </c>
      <c r="AA27" s="3">
        <v>0</v>
      </c>
      <c r="AB27" s="3">
        <v>0</v>
      </c>
      <c r="AC27" s="3" t="s">
        <v>67</v>
      </c>
      <c r="AD27" s="6" t="s">
        <v>68</v>
      </c>
      <c r="AE27" s="3">
        <v>1003</v>
      </c>
      <c r="AF27" s="3">
        <v>3.7</v>
      </c>
      <c r="AG27" s="3">
        <v>278.42500000000001</v>
      </c>
      <c r="AH27" s="3">
        <v>6.66</v>
      </c>
      <c r="AI27" s="3">
        <v>68.6666666666667</v>
      </c>
      <c r="AJ27" s="3">
        <v>4.7791666666666703</v>
      </c>
      <c r="AK27" s="3">
        <v>16.665416666666701</v>
      </c>
      <c r="AL27" s="3">
        <v>38.449166666666699</v>
      </c>
      <c r="AM27" s="3">
        <v>2</v>
      </c>
      <c r="AN27" s="3">
        <v>2</v>
      </c>
      <c r="AO27" s="7">
        <v>0.23819444444444443</v>
      </c>
      <c r="AP27" s="7">
        <v>0.78680555555555554</v>
      </c>
      <c r="AQ27" s="7">
        <v>9.8611111111111108E-2</v>
      </c>
      <c r="AR27" s="7">
        <v>0.65625</v>
      </c>
      <c r="AS27" s="3" t="s">
        <v>59</v>
      </c>
      <c r="AT27" s="3">
        <v>16</v>
      </c>
      <c r="AU27" s="3">
        <v>1</v>
      </c>
      <c r="AV27" s="3">
        <v>0</v>
      </c>
      <c r="AW27" s="3" t="s">
        <v>69</v>
      </c>
      <c r="AX27" s="3">
        <v>22</v>
      </c>
    </row>
    <row r="28" spans="1:50" ht="12.5" x14ac:dyDescent="0.25">
      <c r="A28" s="3" t="s">
        <v>75</v>
      </c>
      <c r="B28" s="3" t="s">
        <v>76</v>
      </c>
      <c r="C28" s="3" t="s">
        <v>52</v>
      </c>
      <c r="D28" s="3">
        <v>17.375299999999999</v>
      </c>
      <c r="E28" s="3">
        <v>78.474400000000003</v>
      </c>
      <c r="F28" s="3" t="s">
        <v>53</v>
      </c>
      <c r="G28" s="3">
        <v>1750250914</v>
      </c>
      <c r="H28" s="4">
        <f t="shared" ca="1" si="0"/>
        <v>46118.952512962962</v>
      </c>
      <c r="I28" s="5">
        <f t="shared" ca="1" si="1"/>
        <v>46118.952512962962</v>
      </c>
      <c r="J28" s="3">
        <v>1750636800</v>
      </c>
      <c r="K28" s="3">
        <v>32.1</v>
      </c>
      <c r="L28" s="3">
        <v>89.8</v>
      </c>
      <c r="M28" s="3">
        <v>24.6</v>
      </c>
      <c r="N28" s="3">
        <v>76.3</v>
      </c>
      <c r="O28" s="3">
        <v>27.5</v>
      </c>
      <c r="P28" s="3">
        <v>81.400000000000006</v>
      </c>
      <c r="Q28" s="3">
        <v>21</v>
      </c>
      <c r="R28" s="3">
        <v>33.799999999999997</v>
      </c>
      <c r="S28" s="3">
        <v>0</v>
      </c>
      <c r="T28" s="3">
        <v>0</v>
      </c>
      <c r="U28" s="3">
        <v>0</v>
      </c>
      <c r="V28" s="3">
        <v>10</v>
      </c>
      <c r="W28" s="3">
        <v>6</v>
      </c>
      <c r="X28" s="3">
        <v>58</v>
      </c>
      <c r="Y28" s="3">
        <v>0</v>
      </c>
      <c r="Z28" s="3">
        <v>0</v>
      </c>
      <c r="AA28" s="3">
        <v>0</v>
      </c>
      <c r="AB28" s="3">
        <v>0</v>
      </c>
      <c r="AC28" s="3" t="s">
        <v>67</v>
      </c>
      <c r="AD28" s="6" t="s">
        <v>68</v>
      </c>
      <c r="AE28" s="3">
        <v>1003</v>
      </c>
      <c r="AF28" s="3">
        <v>7</v>
      </c>
      <c r="AO28" s="7">
        <v>0.2388888888888889</v>
      </c>
      <c r="AP28" s="7">
        <v>0.78680555555555554</v>
      </c>
      <c r="AQ28" s="7">
        <v>0.13402777777777777</v>
      </c>
      <c r="AR28" s="7">
        <v>0.70277777777777772</v>
      </c>
      <c r="AS28" s="3" t="s">
        <v>59</v>
      </c>
      <c r="AT28" s="3">
        <v>9</v>
      </c>
      <c r="AU28" s="3">
        <v>1</v>
      </c>
      <c r="AV28" s="3">
        <v>0</v>
      </c>
      <c r="AW28" s="3" t="s">
        <v>70</v>
      </c>
      <c r="AX28" s="3">
        <v>23</v>
      </c>
    </row>
    <row r="29" spans="1:50" ht="12.5" x14ac:dyDescent="0.25">
      <c r="A29" s="3" t="s">
        <v>75</v>
      </c>
      <c r="B29" s="3" t="s">
        <v>76</v>
      </c>
      <c r="C29" s="3" t="s">
        <v>52</v>
      </c>
      <c r="D29" s="3">
        <v>17.375299999999999</v>
      </c>
      <c r="E29" s="3">
        <v>78.474400000000003</v>
      </c>
      <c r="F29" s="3" t="s">
        <v>53</v>
      </c>
      <c r="G29" s="3">
        <v>1750250914</v>
      </c>
      <c r="H29" s="4">
        <f t="shared" ca="1" si="0"/>
        <v>46118.952512962962</v>
      </c>
      <c r="I29" s="5">
        <f t="shared" ca="1" si="1"/>
        <v>46118.952512962962</v>
      </c>
      <c r="J29" s="3">
        <v>1750723200</v>
      </c>
      <c r="K29" s="3">
        <v>25.6</v>
      </c>
      <c r="L29" s="3">
        <v>78</v>
      </c>
      <c r="M29" s="3">
        <v>24.4</v>
      </c>
      <c r="N29" s="3">
        <v>76</v>
      </c>
      <c r="O29" s="3">
        <v>24.9</v>
      </c>
      <c r="P29" s="3">
        <v>76.8</v>
      </c>
      <c r="Q29" s="3">
        <v>20.6</v>
      </c>
      <c r="R29" s="3">
        <v>33.1</v>
      </c>
      <c r="S29" s="3">
        <v>0.5</v>
      </c>
      <c r="T29" s="3">
        <v>0.02</v>
      </c>
      <c r="U29" s="3">
        <v>0</v>
      </c>
      <c r="V29" s="3">
        <v>8.4</v>
      </c>
      <c r="W29" s="3">
        <v>5</v>
      </c>
      <c r="X29" s="3">
        <v>72</v>
      </c>
      <c r="Y29" s="3">
        <v>1</v>
      </c>
      <c r="Z29" s="3">
        <v>86</v>
      </c>
      <c r="AA29" s="3">
        <v>0</v>
      </c>
      <c r="AB29" s="3">
        <v>0</v>
      </c>
      <c r="AC29" s="3" t="s">
        <v>64</v>
      </c>
      <c r="AD29" s="6" t="s">
        <v>65</v>
      </c>
      <c r="AE29" s="3">
        <v>1063</v>
      </c>
      <c r="AF29" s="3">
        <v>5</v>
      </c>
      <c r="AO29" s="7">
        <v>0.2388888888888889</v>
      </c>
      <c r="AP29" s="7">
        <v>0.78749999999999998</v>
      </c>
      <c r="AQ29" s="7">
        <v>0.1736111111111111</v>
      </c>
      <c r="AR29" s="7">
        <v>0.75</v>
      </c>
      <c r="AS29" s="3" t="s">
        <v>59</v>
      </c>
      <c r="AT29" s="3">
        <v>3</v>
      </c>
      <c r="AU29" s="3">
        <v>1</v>
      </c>
      <c r="AV29" s="3">
        <v>0</v>
      </c>
      <c r="AW29" s="3" t="s">
        <v>71</v>
      </c>
      <c r="AX29" s="3">
        <v>24</v>
      </c>
    </row>
    <row r="30" spans="1:50" ht="12.5" x14ac:dyDescent="0.25">
      <c r="A30" s="3" t="s">
        <v>77</v>
      </c>
      <c r="B30" s="3" t="s">
        <v>78</v>
      </c>
      <c r="C30" s="3" t="s">
        <v>52</v>
      </c>
      <c r="D30" s="3">
        <v>12.9833</v>
      </c>
      <c r="E30" s="3">
        <v>77.583299999999994</v>
      </c>
      <c r="F30" s="3" t="s">
        <v>53</v>
      </c>
      <c r="G30" s="3">
        <v>1750250857</v>
      </c>
      <c r="H30" s="4">
        <f t="shared" ca="1" si="0"/>
        <v>46118.952512962962</v>
      </c>
      <c r="I30" s="5">
        <f t="shared" ca="1" si="1"/>
        <v>46118.952512962962</v>
      </c>
      <c r="J30" s="3">
        <v>1750204800</v>
      </c>
      <c r="K30" s="3">
        <v>27.4</v>
      </c>
      <c r="L30" s="3">
        <v>81.400000000000006</v>
      </c>
      <c r="M30" s="3">
        <v>20.100000000000001</v>
      </c>
      <c r="N30" s="3">
        <v>68.099999999999994</v>
      </c>
      <c r="O30" s="3">
        <v>23.7</v>
      </c>
      <c r="P30" s="3">
        <v>74.7</v>
      </c>
      <c r="Q30" s="3">
        <v>17</v>
      </c>
      <c r="R30" s="3">
        <v>27.4</v>
      </c>
      <c r="S30" s="3">
        <v>0.05</v>
      </c>
      <c r="T30" s="3">
        <v>0</v>
      </c>
      <c r="U30" s="3">
        <v>0</v>
      </c>
      <c r="V30" s="3">
        <v>10</v>
      </c>
      <c r="W30" s="3">
        <v>6</v>
      </c>
      <c r="X30" s="3">
        <v>71</v>
      </c>
      <c r="Y30" s="3">
        <v>0</v>
      </c>
      <c r="Z30" s="3">
        <v>0</v>
      </c>
      <c r="AA30" s="3">
        <v>0</v>
      </c>
      <c r="AB30" s="3">
        <v>0</v>
      </c>
      <c r="AC30" s="3" t="s">
        <v>67</v>
      </c>
      <c r="AD30" s="6" t="s">
        <v>68</v>
      </c>
      <c r="AE30" s="3">
        <v>1003</v>
      </c>
      <c r="AF30" s="3">
        <v>2.8</v>
      </c>
      <c r="AG30" s="3">
        <v>603.71666666666704</v>
      </c>
      <c r="AH30" s="3">
        <v>14.7845833333333</v>
      </c>
      <c r="AI30" s="3">
        <v>52.3333333333333</v>
      </c>
      <c r="AJ30" s="3">
        <v>7.4924999999999997</v>
      </c>
      <c r="AK30" s="3">
        <v>8.6179166666666696</v>
      </c>
      <c r="AL30" s="3">
        <v>12.348750000000001</v>
      </c>
      <c r="AM30" s="3">
        <v>1</v>
      </c>
      <c r="AN30" s="3">
        <v>1</v>
      </c>
      <c r="AO30" s="7">
        <v>0.24583333333333332</v>
      </c>
      <c r="AP30" s="7">
        <v>0.78263888888888888</v>
      </c>
      <c r="AQ30" s="3" t="s">
        <v>56</v>
      </c>
      <c r="AR30" s="7">
        <v>0.49513888888888891</v>
      </c>
      <c r="AS30" s="3" t="s">
        <v>57</v>
      </c>
      <c r="AT30" s="3">
        <v>59</v>
      </c>
      <c r="AU30" s="3">
        <v>1</v>
      </c>
      <c r="AV30" s="3">
        <v>0</v>
      </c>
      <c r="AW30" s="3" t="s">
        <v>58</v>
      </c>
      <c r="AX30" s="3">
        <v>18</v>
      </c>
    </row>
    <row r="31" spans="1:50" ht="12.5" x14ac:dyDescent="0.25">
      <c r="A31" s="3" t="s">
        <v>77</v>
      </c>
      <c r="B31" s="3" t="s">
        <v>78</v>
      </c>
      <c r="C31" s="3" t="s">
        <v>52</v>
      </c>
      <c r="D31" s="3">
        <v>12.9833</v>
      </c>
      <c r="E31" s="3">
        <v>77.583299999999994</v>
      </c>
      <c r="F31" s="3" t="s">
        <v>53</v>
      </c>
      <c r="G31" s="3">
        <v>1750250857</v>
      </c>
      <c r="H31" s="4">
        <f t="shared" ca="1" si="0"/>
        <v>46118.952512962962</v>
      </c>
      <c r="I31" s="5">
        <f t="shared" ca="1" si="1"/>
        <v>46118.952512962962</v>
      </c>
      <c r="J31" s="3">
        <v>1750291200</v>
      </c>
      <c r="K31" s="3">
        <v>29.3</v>
      </c>
      <c r="L31" s="3">
        <v>84.8</v>
      </c>
      <c r="M31" s="3">
        <v>20.2</v>
      </c>
      <c r="N31" s="3">
        <v>68.400000000000006</v>
      </c>
      <c r="O31" s="3">
        <v>24.1</v>
      </c>
      <c r="P31" s="3">
        <v>75.3</v>
      </c>
      <c r="Q31" s="3">
        <v>18.100000000000001</v>
      </c>
      <c r="R31" s="3">
        <v>29.2</v>
      </c>
      <c r="S31" s="3">
        <v>0</v>
      </c>
      <c r="T31" s="3">
        <v>0</v>
      </c>
      <c r="U31" s="3">
        <v>0</v>
      </c>
      <c r="V31" s="3">
        <v>10</v>
      </c>
      <c r="W31" s="3">
        <v>6</v>
      </c>
      <c r="X31" s="3">
        <v>68</v>
      </c>
      <c r="Y31" s="3">
        <v>0</v>
      </c>
      <c r="Z31" s="3">
        <v>0</v>
      </c>
      <c r="AA31" s="3">
        <v>0</v>
      </c>
      <c r="AB31" s="3">
        <v>0</v>
      </c>
      <c r="AC31" s="3" t="s">
        <v>79</v>
      </c>
      <c r="AD31" s="6" t="s">
        <v>80</v>
      </c>
      <c r="AE31" s="3">
        <v>1000</v>
      </c>
      <c r="AF31" s="3">
        <v>2.8</v>
      </c>
      <c r="AG31" s="3">
        <v>572.18958333333296</v>
      </c>
      <c r="AH31" s="3">
        <v>16.973749999999999</v>
      </c>
      <c r="AI31" s="3">
        <v>50.3333333333333</v>
      </c>
      <c r="AJ31" s="3">
        <v>8.1862499999999994</v>
      </c>
      <c r="AK31" s="3">
        <v>12.8035416666667</v>
      </c>
      <c r="AL31" s="3">
        <v>21.382916666666699</v>
      </c>
      <c r="AM31" s="3">
        <v>1</v>
      </c>
      <c r="AN31" s="3">
        <v>2</v>
      </c>
      <c r="AO31" s="7">
        <v>0.24583333333333332</v>
      </c>
      <c r="AP31" s="7">
        <v>0.78333333333333333</v>
      </c>
      <c r="AQ31" s="7">
        <v>1.5277777777777777E-2</v>
      </c>
      <c r="AR31" s="7">
        <v>0.53194444444444444</v>
      </c>
      <c r="AS31" s="3" t="s">
        <v>59</v>
      </c>
      <c r="AT31" s="3">
        <v>48</v>
      </c>
      <c r="AU31" s="3">
        <v>1</v>
      </c>
      <c r="AV31" s="3">
        <v>0</v>
      </c>
      <c r="AW31" s="3" t="s">
        <v>60</v>
      </c>
      <c r="AX31" s="3">
        <v>19</v>
      </c>
    </row>
    <row r="32" spans="1:50" ht="12.5" x14ac:dyDescent="0.25">
      <c r="A32" s="3" t="s">
        <v>77</v>
      </c>
      <c r="B32" s="3" t="s">
        <v>78</v>
      </c>
      <c r="C32" s="3" t="s">
        <v>52</v>
      </c>
      <c r="D32" s="3">
        <v>12.9833</v>
      </c>
      <c r="E32" s="3">
        <v>77.583299999999994</v>
      </c>
      <c r="F32" s="3" t="s">
        <v>53</v>
      </c>
      <c r="G32" s="3">
        <v>1750250857</v>
      </c>
      <c r="H32" s="4">
        <f t="shared" ca="1" si="0"/>
        <v>46118.952512962962</v>
      </c>
      <c r="I32" s="5">
        <f t="shared" ca="1" si="1"/>
        <v>46118.952512962962</v>
      </c>
      <c r="J32" s="3">
        <v>1750377600</v>
      </c>
      <c r="K32" s="3">
        <v>29</v>
      </c>
      <c r="L32" s="3">
        <v>84.2</v>
      </c>
      <c r="M32" s="3">
        <v>19.8</v>
      </c>
      <c r="N32" s="3">
        <v>67.599999999999994</v>
      </c>
      <c r="O32" s="3">
        <v>23.9</v>
      </c>
      <c r="P32" s="3">
        <v>75</v>
      </c>
      <c r="Q32" s="3">
        <v>18.100000000000001</v>
      </c>
      <c r="R32" s="3">
        <v>29.2</v>
      </c>
      <c r="S32" s="3">
        <v>0</v>
      </c>
      <c r="T32" s="3">
        <v>0</v>
      </c>
      <c r="U32" s="3">
        <v>0</v>
      </c>
      <c r="V32" s="3">
        <v>10</v>
      </c>
      <c r="W32" s="3">
        <v>6</v>
      </c>
      <c r="X32" s="3">
        <v>68</v>
      </c>
      <c r="Y32" s="3">
        <v>0</v>
      </c>
      <c r="Z32" s="3">
        <v>0</v>
      </c>
      <c r="AA32" s="3">
        <v>0</v>
      </c>
      <c r="AB32" s="3">
        <v>0</v>
      </c>
      <c r="AC32" s="3" t="s">
        <v>67</v>
      </c>
      <c r="AD32" s="6" t="s">
        <v>68</v>
      </c>
      <c r="AE32" s="3">
        <v>1003</v>
      </c>
      <c r="AF32" s="3">
        <v>2.7</v>
      </c>
      <c r="AG32" s="3">
        <v>494.18124999999998</v>
      </c>
      <c r="AH32" s="3">
        <v>19.425000000000001</v>
      </c>
      <c r="AI32" s="3">
        <v>49.7916666666667</v>
      </c>
      <c r="AJ32" s="3">
        <v>8.8106249999999999</v>
      </c>
      <c r="AK32" s="3">
        <v>12.741875</v>
      </c>
      <c r="AL32" s="3">
        <v>19.309374999999999</v>
      </c>
      <c r="AM32" s="3">
        <v>1</v>
      </c>
      <c r="AN32" s="3">
        <v>2</v>
      </c>
      <c r="AO32" s="7">
        <v>0.24652777777777779</v>
      </c>
      <c r="AP32" s="7">
        <v>0.78333333333333333</v>
      </c>
      <c r="AQ32" s="7">
        <v>4.3055555555555555E-2</v>
      </c>
      <c r="AR32" s="7">
        <v>0.57013888888888886</v>
      </c>
      <c r="AS32" s="3" t="s">
        <v>59</v>
      </c>
      <c r="AT32" s="3">
        <v>37</v>
      </c>
      <c r="AU32" s="3">
        <v>1</v>
      </c>
      <c r="AV32" s="3">
        <v>0</v>
      </c>
      <c r="AW32" s="3" t="s">
        <v>63</v>
      </c>
      <c r="AX32" s="3">
        <v>20</v>
      </c>
    </row>
    <row r="33" spans="1:50" ht="12.5" x14ac:dyDescent="0.25">
      <c r="A33" s="3" t="s">
        <v>77</v>
      </c>
      <c r="B33" s="3" t="s">
        <v>78</v>
      </c>
      <c r="C33" s="3" t="s">
        <v>52</v>
      </c>
      <c r="D33" s="3">
        <v>12.9833</v>
      </c>
      <c r="E33" s="3">
        <v>77.583299999999994</v>
      </c>
      <c r="F33" s="3" t="s">
        <v>53</v>
      </c>
      <c r="G33" s="3">
        <v>1750250857</v>
      </c>
      <c r="H33" s="4">
        <f t="shared" ca="1" si="0"/>
        <v>46118.952512962962</v>
      </c>
      <c r="I33" s="5">
        <f t="shared" ca="1" si="1"/>
        <v>46118.952512962962</v>
      </c>
      <c r="J33" s="3">
        <v>1750464000</v>
      </c>
      <c r="K33" s="3">
        <v>30.8</v>
      </c>
      <c r="L33" s="3">
        <v>87.4</v>
      </c>
      <c r="M33" s="3">
        <v>20.3</v>
      </c>
      <c r="N33" s="3">
        <v>68.5</v>
      </c>
      <c r="O33" s="3">
        <v>24.6</v>
      </c>
      <c r="P33" s="3">
        <v>76.2</v>
      </c>
      <c r="Q33" s="3">
        <v>18.100000000000001</v>
      </c>
      <c r="R33" s="3">
        <v>29.2</v>
      </c>
      <c r="S33" s="3">
        <v>0.01</v>
      </c>
      <c r="T33" s="3">
        <v>0</v>
      </c>
      <c r="U33" s="3">
        <v>0</v>
      </c>
      <c r="V33" s="3">
        <v>10</v>
      </c>
      <c r="W33" s="3">
        <v>6</v>
      </c>
      <c r="X33" s="3">
        <v>64</v>
      </c>
      <c r="Y33" s="3">
        <v>0</v>
      </c>
      <c r="Z33" s="3">
        <v>0</v>
      </c>
      <c r="AA33" s="3">
        <v>0</v>
      </c>
      <c r="AB33" s="3">
        <v>0</v>
      </c>
      <c r="AC33" s="3" t="s">
        <v>79</v>
      </c>
      <c r="AD33" s="6" t="s">
        <v>80</v>
      </c>
      <c r="AE33" s="3">
        <v>1000</v>
      </c>
      <c r="AF33" s="3">
        <v>2.4</v>
      </c>
      <c r="AG33" s="3">
        <v>561.16666666666697</v>
      </c>
      <c r="AH33" s="3">
        <v>18.338125000000002</v>
      </c>
      <c r="AI33" s="3">
        <v>49.375</v>
      </c>
      <c r="AJ33" s="3">
        <v>8.5485416666666705</v>
      </c>
      <c r="AK33" s="3">
        <v>12.4720833333333</v>
      </c>
      <c r="AL33" s="3">
        <v>18.623333333333299</v>
      </c>
      <c r="AM33" s="3">
        <v>1</v>
      </c>
      <c r="AN33" s="3">
        <v>2</v>
      </c>
      <c r="AO33" s="7">
        <v>0.24652777777777779</v>
      </c>
      <c r="AP33" s="7">
        <v>0.78333333333333333</v>
      </c>
      <c r="AQ33" s="7">
        <v>7.3611111111111113E-2</v>
      </c>
      <c r="AR33" s="7">
        <v>0.61041666666666672</v>
      </c>
      <c r="AS33" s="3" t="s">
        <v>59</v>
      </c>
      <c r="AT33" s="3">
        <v>26</v>
      </c>
      <c r="AU33" s="3">
        <v>1</v>
      </c>
      <c r="AV33" s="3">
        <v>0</v>
      </c>
      <c r="AW33" s="3" t="s">
        <v>66</v>
      </c>
      <c r="AX33" s="3">
        <v>21</v>
      </c>
    </row>
    <row r="34" spans="1:50" ht="12.5" x14ac:dyDescent="0.25">
      <c r="A34" s="3" t="s">
        <v>77</v>
      </c>
      <c r="B34" s="3" t="s">
        <v>78</v>
      </c>
      <c r="C34" s="3" t="s">
        <v>52</v>
      </c>
      <c r="D34" s="3">
        <v>12.9833</v>
      </c>
      <c r="E34" s="3">
        <v>77.583299999999994</v>
      </c>
      <c r="F34" s="3" t="s">
        <v>53</v>
      </c>
      <c r="G34" s="3">
        <v>1750250857</v>
      </c>
      <c r="H34" s="4">
        <f t="shared" ca="1" si="0"/>
        <v>46118.952512962962</v>
      </c>
      <c r="I34" s="5">
        <f t="shared" ca="1" si="1"/>
        <v>46118.952512962962</v>
      </c>
      <c r="J34" s="3">
        <v>1750550400</v>
      </c>
      <c r="K34" s="3">
        <v>30.8</v>
      </c>
      <c r="L34" s="3">
        <v>87.4</v>
      </c>
      <c r="M34" s="3">
        <v>19.600000000000001</v>
      </c>
      <c r="N34" s="3">
        <v>67.3</v>
      </c>
      <c r="O34" s="3">
        <v>24.2</v>
      </c>
      <c r="P34" s="3">
        <v>75.599999999999994</v>
      </c>
      <c r="Q34" s="3">
        <v>18.8</v>
      </c>
      <c r="R34" s="3">
        <v>30.2</v>
      </c>
      <c r="S34" s="3">
        <v>0.01</v>
      </c>
      <c r="T34" s="3">
        <v>0</v>
      </c>
      <c r="U34" s="3">
        <v>0</v>
      </c>
      <c r="V34" s="3">
        <v>10</v>
      </c>
      <c r="W34" s="3">
        <v>6</v>
      </c>
      <c r="X34" s="3">
        <v>64</v>
      </c>
      <c r="Y34" s="3">
        <v>0</v>
      </c>
      <c r="Z34" s="3">
        <v>0</v>
      </c>
      <c r="AA34" s="3">
        <v>0</v>
      </c>
      <c r="AB34" s="3">
        <v>0</v>
      </c>
      <c r="AC34" s="3" t="s">
        <v>67</v>
      </c>
      <c r="AD34" s="6" t="s">
        <v>68</v>
      </c>
      <c r="AE34" s="3">
        <v>1003</v>
      </c>
      <c r="AF34" s="3">
        <v>3.1</v>
      </c>
      <c r="AG34" s="3">
        <v>331.92083333333301</v>
      </c>
      <c r="AH34" s="3">
        <v>12.8266666666667</v>
      </c>
      <c r="AI34" s="3">
        <v>58.4166666666667</v>
      </c>
      <c r="AJ34" s="3">
        <v>7.0916666666666703</v>
      </c>
      <c r="AK34" s="3">
        <v>12.071249999999999</v>
      </c>
      <c r="AL34" s="3">
        <v>22.045833333333299</v>
      </c>
      <c r="AM34" s="3">
        <v>1</v>
      </c>
      <c r="AN34" s="3">
        <v>2</v>
      </c>
      <c r="AO34" s="7">
        <v>0.24652777777777779</v>
      </c>
      <c r="AP34" s="7">
        <v>0.78333333333333333</v>
      </c>
      <c r="AQ34" s="7">
        <v>0.10555555555555556</v>
      </c>
      <c r="AR34" s="7">
        <v>0.65347222222222223</v>
      </c>
      <c r="AS34" s="3" t="s">
        <v>59</v>
      </c>
      <c r="AT34" s="3">
        <v>16</v>
      </c>
      <c r="AU34" s="3">
        <v>1</v>
      </c>
      <c r="AV34" s="3">
        <v>0</v>
      </c>
      <c r="AW34" s="3" t="s">
        <v>69</v>
      </c>
      <c r="AX34" s="3">
        <v>22</v>
      </c>
    </row>
    <row r="35" spans="1:50" ht="12.5" x14ac:dyDescent="0.25">
      <c r="A35" s="3" t="s">
        <v>77</v>
      </c>
      <c r="B35" s="3" t="s">
        <v>78</v>
      </c>
      <c r="C35" s="3" t="s">
        <v>52</v>
      </c>
      <c r="D35" s="3">
        <v>12.9833</v>
      </c>
      <c r="E35" s="3">
        <v>77.583299999999994</v>
      </c>
      <c r="F35" s="3" t="s">
        <v>53</v>
      </c>
      <c r="G35" s="3">
        <v>1750250857</v>
      </c>
      <c r="H35" s="4">
        <f t="shared" ca="1" si="0"/>
        <v>46118.952512962962</v>
      </c>
      <c r="I35" s="5">
        <f t="shared" ca="1" si="1"/>
        <v>46118.952512962962</v>
      </c>
      <c r="J35" s="3">
        <v>1750636800</v>
      </c>
      <c r="K35" s="3">
        <v>26</v>
      </c>
      <c r="L35" s="3">
        <v>78.8</v>
      </c>
      <c r="M35" s="3">
        <v>20.5</v>
      </c>
      <c r="N35" s="3">
        <v>68.900000000000006</v>
      </c>
      <c r="O35" s="3">
        <v>22.2</v>
      </c>
      <c r="P35" s="3">
        <v>71.900000000000006</v>
      </c>
      <c r="Q35" s="3">
        <v>19</v>
      </c>
      <c r="R35" s="3">
        <v>30.6</v>
      </c>
      <c r="S35" s="3">
        <v>0</v>
      </c>
      <c r="T35" s="3">
        <v>0</v>
      </c>
      <c r="U35" s="3">
        <v>0</v>
      </c>
      <c r="V35" s="3">
        <v>10</v>
      </c>
      <c r="W35" s="3">
        <v>6</v>
      </c>
      <c r="X35" s="3">
        <v>72</v>
      </c>
      <c r="Y35" s="3">
        <v>0</v>
      </c>
      <c r="Z35" s="3">
        <v>0</v>
      </c>
      <c r="AA35" s="3">
        <v>0</v>
      </c>
      <c r="AB35" s="3">
        <v>0</v>
      </c>
      <c r="AC35" s="3" t="s">
        <v>67</v>
      </c>
      <c r="AD35" s="6" t="s">
        <v>68</v>
      </c>
      <c r="AE35" s="3">
        <v>1003</v>
      </c>
      <c r="AF35" s="3">
        <v>6</v>
      </c>
      <c r="AO35" s="7">
        <v>0.24652777777777779</v>
      </c>
      <c r="AP35" s="7">
        <v>0.78402777777777777</v>
      </c>
      <c r="AQ35" s="7">
        <v>0.14305555555555555</v>
      </c>
      <c r="AR35" s="7">
        <v>0.69861111111111107</v>
      </c>
      <c r="AS35" s="3" t="s">
        <v>59</v>
      </c>
      <c r="AT35" s="3">
        <v>9</v>
      </c>
      <c r="AU35" s="3">
        <v>1</v>
      </c>
      <c r="AV35" s="3">
        <v>0</v>
      </c>
      <c r="AW35" s="3" t="s">
        <v>70</v>
      </c>
      <c r="AX35" s="3">
        <v>23</v>
      </c>
    </row>
    <row r="36" spans="1:50" ht="12.5" x14ac:dyDescent="0.25">
      <c r="A36" s="3" t="s">
        <v>77</v>
      </c>
      <c r="B36" s="3" t="s">
        <v>78</v>
      </c>
      <c r="C36" s="3" t="s">
        <v>52</v>
      </c>
      <c r="D36" s="3">
        <v>12.9833</v>
      </c>
      <c r="E36" s="3">
        <v>77.583299999999994</v>
      </c>
      <c r="F36" s="3" t="s">
        <v>53</v>
      </c>
      <c r="G36" s="3">
        <v>1750250857</v>
      </c>
      <c r="H36" s="4">
        <f t="shared" ca="1" si="0"/>
        <v>46118.952512962962</v>
      </c>
      <c r="I36" s="5">
        <f t="shared" ca="1" si="1"/>
        <v>46118.952512962962</v>
      </c>
      <c r="J36" s="3">
        <v>1750723200</v>
      </c>
      <c r="K36" s="3">
        <v>28.9</v>
      </c>
      <c r="L36" s="3">
        <v>84</v>
      </c>
      <c r="M36" s="3">
        <v>20.100000000000001</v>
      </c>
      <c r="N36" s="3">
        <v>68.2</v>
      </c>
      <c r="O36" s="3">
        <v>23.6</v>
      </c>
      <c r="P36" s="3">
        <v>74.599999999999994</v>
      </c>
      <c r="Q36" s="3">
        <v>21.5</v>
      </c>
      <c r="R36" s="3">
        <v>34.6</v>
      </c>
      <c r="S36" s="3">
        <v>0.01</v>
      </c>
      <c r="T36" s="3">
        <v>0</v>
      </c>
      <c r="U36" s="3">
        <v>0</v>
      </c>
      <c r="V36" s="3">
        <v>10</v>
      </c>
      <c r="W36" s="3">
        <v>6</v>
      </c>
      <c r="X36" s="3">
        <v>64</v>
      </c>
      <c r="Y36" s="3">
        <v>0</v>
      </c>
      <c r="Z36" s="3">
        <v>0</v>
      </c>
      <c r="AA36" s="3">
        <v>0</v>
      </c>
      <c r="AB36" s="3">
        <v>0</v>
      </c>
      <c r="AC36" s="3" t="s">
        <v>67</v>
      </c>
      <c r="AD36" s="6" t="s">
        <v>68</v>
      </c>
      <c r="AE36" s="3">
        <v>1003</v>
      </c>
      <c r="AF36" s="3">
        <v>6</v>
      </c>
      <c r="AO36" s="7">
        <v>0.24722222222222223</v>
      </c>
      <c r="AP36" s="7">
        <v>0.78402777777777777</v>
      </c>
      <c r="AQ36" s="7">
        <v>0.18333333333333332</v>
      </c>
      <c r="AR36" s="7">
        <v>0.74513888888888891</v>
      </c>
      <c r="AS36" s="3" t="s">
        <v>59</v>
      </c>
      <c r="AT36" s="3">
        <v>3</v>
      </c>
      <c r="AU36" s="3">
        <v>1</v>
      </c>
      <c r="AV36" s="3">
        <v>0</v>
      </c>
      <c r="AW36" s="3" t="s">
        <v>71</v>
      </c>
      <c r="AX36" s="3">
        <v>24</v>
      </c>
    </row>
    <row r="37" spans="1:50" ht="12.5" x14ac:dyDescent="0.25">
      <c r="A37" s="3" t="s">
        <v>81</v>
      </c>
      <c r="B37" s="3" t="s">
        <v>82</v>
      </c>
      <c r="C37" s="3" t="s">
        <v>52</v>
      </c>
      <c r="D37" s="3">
        <v>22.569700000000001</v>
      </c>
      <c r="E37" s="3">
        <v>88.369699999999995</v>
      </c>
      <c r="F37" s="3" t="s">
        <v>53</v>
      </c>
      <c r="G37" s="3">
        <v>1750250618</v>
      </c>
      <c r="H37" s="4">
        <f t="shared" ca="1" si="0"/>
        <v>46118.952512962962</v>
      </c>
      <c r="I37" s="5">
        <f t="shared" ca="1" si="1"/>
        <v>46118.952512962962</v>
      </c>
      <c r="J37" s="3">
        <v>1750204800</v>
      </c>
      <c r="K37" s="3">
        <v>31.2</v>
      </c>
      <c r="L37" s="3">
        <v>88.2</v>
      </c>
      <c r="M37" s="3">
        <v>26.4</v>
      </c>
      <c r="N37" s="3">
        <v>79.5</v>
      </c>
      <c r="O37" s="3">
        <v>28.3</v>
      </c>
      <c r="P37" s="3">
        <v>83</v>
      </c>
      <c r="Q37" s="3">
        <v>15.7</v>
      </c>
      <c r="R37" s="3">
        <v>25.2</v>
      </c>
      <c r="S37" s="3">
        <v>6.06</v>
      </c>
      <c r="T37" s="3">
        <v>0.24</v>
      </c>
      <c r="U37" s="3">
        <v>0</v>
      </c>
      <c r="V37" s="3">
        <v>10</v>
      </c>
      <c r="W37" s="3">
        <v>6</v>
      </c>
      <c r="X37" s="3">
        <v>78</v>
      </c>
      <c r="Y37" s="3">
        <v>1</v>
      </c>
      <c r="Z37" s="3">
        <v>97</v>
      </c>
      <c r="AA37" s="3">
        <v>0</v>
      </c>
      <c r="AB37" s="3">
        <v>0</v>
      </c>
      <c r="AC37" s="3" t="s">
        <v>61</v>
      </c>
      <c r="AD37" s="6" t="s">
        <v>62</v>
      </c>
      <c r="AE37" s="3">
        <v>1189</v>
      </c>
      <c r="AF37" s="3">
        <v>1</v>
      </c>
      <c r="AG37" s="3">
        <v>668.08124999999995</v>
      </c>
      <c r="AH37" s="3">
        <v>20.650625000000002</v>
      </c>
      <c r="AI37" s="3">
        <v>78.625</v>
      </c>
      <c r="AJ37" s="3">
        <v>26.254583333333301</v>
      </c>
      <c r="AK37" s="3">
        <v>37.231250000000003</v>
      </c>
      <c r="AL37" s="3">
        <v>39.050416666666699</v>
      </c>
      <c r="AM37" s="3">
        <v>2</v>
      </c>
      <c r="AN37" s="3">
        <v>4</v>
      </c>
      <c r="AO37" s="7">
        <v>0.20277777777777778</v>
      </c>
      <c r="AP37" s="7">
        <v>0.76597222222222228</v>
      </c>
      <c r="AQ37" s="7">
        <v>0.98472222222222228</v>
      </c>
      <c r="AR37" s="7">
        <v>0.46180555555555558</v>
      </c>
      <c r="AS37" s="3" t="s">
        <v>57</v>
      </c>
      <c r="AT37" s="3">
        <v>59</v>
      </c>
      <c r="AU37" s="3">
        <v>1</v>
      </c>
      <c r="AV37" s="3">
        <v>0</v>
      </c>
      <c r="AW37" s="3" t="s">
        <v>58</v>
      </c>
      <c r="AX37" s="3">
        <v>18</v>
      </c>
    </row>
    <row r="38" spans="1:50" ht="12.5" x14ac:dyDescent="0.25">
      <c r="A38" s="3" t="s">
        <v>81</v>
      </c>
      <c r="B38" s="3" t="s">
        <v>82</v>
      </c>
      <c r="C38" s="3" t="s">
        <v>52</v>
      </c>
      <c r="D38" s="3">
        <v>22.569700000000001</v>
      </c>
      <c r="E38" s="3">
        <v>88.369699999999995</v>
      </c>
      <c r="F38" s="3" t="s">
        <v>53</v>
      </c>
      <c r="G38" s="3">
        <v>1750250618</v>
      </c>
      <c r="H38" s="4">
        <f t="shared" ca="1" si="0"/>
        <v>46118.952512962962</v>
      </c>
      <c r="I38" s="5">
        <f t="shared" ca="1" si="1"/>
        <v>46118.952512962962</v>
      </c>
      <c r="J38" s="3">
        <v>1750291200</v>
      </c>
      <c r="K38" s="3">
        <v>27.4</v>
      </c>
      <c r="L38" s="3">
        <v>81.3</v>
      </c>
      <c r="M38" s="3">
        <v>25.2</v>
      </c>
      <c r="N38" s="3">
        <v>77.400000000000006</v>
      </c>
      <c r="O38" s="3">
        <v>26.5</v>
      </c>
      <c r="P38" s="3">
        <v>79.7</v>
      </c>
      <c r="Q38" s="3">
        <v>18.100000000000001</v>
      </c>
      <c r="R38" s="3">
        <v>29.2</v>
      </c>
      <c r="S38" s="3">
        <v>1.77</v>
      </c>
      <c r="T38" s="3">
        <v>7.0000000000000007E-2</v>
      </c>
      <c r="U38" s="3">
        <v>0</v>
      </c>
      <c r="V38" s="3">
        <v>8.6999999999999993</v>
      </c>
      <c r="W38" s="3">
        <v>5</v>
      </c>
      <c r="X38" s="3">
        <v>83</v>
      </c>
      <c r="Y38" s="3">
        <v>1</v>
      </c>
      <c r="Z38" s="3">
        <v>88</v>
      </c>
      <c r="AA38" s="3">
        <v>0</v>
      </c>
      <c r="AB38" s="3">
        <v>0</v>
      </c>
      <c r="AC38" s="3" t="s">
        <v>64</v>
      </c>
      <c r="AD38" s="6" t="s">
        <v>65</v>
      </c>
      <c r="AE38" s="3">
        <v>1063</v>
      </c>
      <c r="AF38" s="3">
        <v>0.4</v>
      </c>
      <c r="AG38" s="3">
        <v>582.51874999999995</v>
      </c>
      <c r="AH38" s="3">
        <v>16.1875</v>
      </c>
      <c r="AI38" s="3">
        <v>93.7083333333333</v>
      </c>
      <c r="AJ38" s="3">
        <v>19.517499999999998</v>
      </c>
      <c r="AK38" s="3">
        <v>43.536666666666697</v>
      </c>
      <c r="AL38" s="3">
        <v>48.747500000000002</v>
      </c>
      <c r="AM38" s="3">
        <v>3</v>
      </c>
      <c r="AN38" s="3">
        <v>5</v>
      </c>
      <c r="AO38" s="7">
        <v>0.20277777777777778</v>
      </c>
      <c r="AP38" s="7">
        <v>0.76597222222222228</v>
      </c>
      <c r="AQ38" s="3" t="s">
        <v>56</v>
      </c>
      <c r="AR38" s="7">
        <v>0.50208333333333333</v>
      </c>
      <c r="AS38" s="3" t="s">
        <v>59</v>
      </c>
      <c r="AT38" s="3">
        <v>48</v>
      </c>
      <c r="AU38" s="3">
        <v>1</v>
      </c>
      <c r="AV38" s="3">
        <v>1</v>
      </c>
      <c r="AW38" s="3" t="s">
        <v>60</v>
      </c>
      <c r="AX38" s="3">
        <v>19</v>
      </c>
    </row>
    <row r="39" spans="1:50" ht="12.5" x14ac:dyDescent="0.25">
      <c r="A39" s="3" t="s">
        <v>81</v>
      </c>
      <c r="B39" s="3" t="s">
        <v>82</v>
      </c>
      <c r="C39" s="3" t="s">
        <v>52</v>
      </c>
      <c r="D39" s="3">
        <v>22.569700000000001</v>
      </c>
      <c r="E39" s="3">
        <v>88.369699999999995</v>
      </c>
      <c r="F39" s="3" t="s">
        <v>53</v>
      </c>
      <c r="G39" s="3">
        <v>1750250618</v>
      </c>
      <c r="H39" s="4">
        <f t="shared" ca="1" si="0"/>
        <v>46118.952512962962</v>
      </c>
      <c r="I39" s="5">
        <f t="shared" ca="1" si="1"/>
        <v>46118.952512962962</v>
      </c>
      <c r="J39" s="3">
        <v>1750377600</v>
      </c>
      <c r="K39" s="3">
        <v>33.5</v>
      </c>
      <c r="L39" s="3">
        <v>92.3</v>
      </c>
      <c r="M39" s="3">
        <v>26.5</v>
      </c>
      <c r="N39" s="3">
        <v>79.599999999999994</v>
      </c>
      <c r="O39" s="3">
        <v>29.6</v>
      </c>
      <c r="P39" s="3">
        <v>85.2</v>
      </c>
      <c r="Q39" s="3">
        <v>12.5</v>
      </c>
      <c r="R39" s="3">
        <v>20.2</v>
      </c>
      <c r="S39" s="3">
        <v>2.4300000000000002</v>
      </c>
      <c r="T39" s="3">
        <v>0.1</v>
      </c>
      <c r="U39" s="3">
        <v>0</v>
      </c>
      <c r="V39" s="3">
        <v>10</v>
      </c>
      <c r="W39" s="3">
        <v>6</v>
      </c>
      <c r="X39" s="3">
        <v>71</v>
      </c>
      <c r="Y39" s="3">
        <v>1</v>
      </c>
      <c r="Z39" s="3">
        <v>89</v>
      </c>
      <c r="AA39" s="3">
        <v>0</v>
      </c>
      <c r="AB39" s="3">
        <v>0</v>
      </c>
      <c r="AC39" s="3" t="s">
        <v>64</v>
      </c>
      <c r="AD39" s="6" t="s">
        <v>65</v>
      </c>
      <c r="AE39" s="3">
        <v>1063</v>
      </c>
      <c r="AF39" s="3">
        <v>2.2999999999999998</v>
      </c>
      <c r="AG39" s="3">
        <v>730.75</v>
      </c>
      <c r="AH39" s="3">
        <v>18.245625</v>
      </c>
      <c r="AI39" s="3">
        <v>92.4583333333333</v>
      </c>
      <c r="AJ39" s="3">
        <v>18.977916666666701</v>
      </c>
      <c r="AK39" s="3">
        <v>43.922083333333298</v>
      </c>
      <c r="AL39" s="3">
        <v>46.573749999999997</v>
      </c>
      <c r="AM39" s="3">
        <v>3</v>
      </c>
      <c r="AN39" s="3">
        <v>5</v>
      </c>
      <c r="AO39" s="7">
        <v>0.20277777777777778</v>
      </c>
      <c r="AP39" s="7">
        <v>0.76597222222222228</v>
      </c>
      <c r="AQ39" s="7">
        <v>9.0277777777777769E-3</v>
      </c>
      <c r="AR39" s="7">
        <v>0.5444444444444444</v>
      </c>
      <c r="AS39" s="3" t="s">
        <v>59</v>
      </c>
      <c r="AT39" s="3">
        <v>37</v>
      </c>
      <c r="AU39" s="3">
        <v>1</v>
      </c>
      <c r="AV39" s="3">
        <v>1</v>
      </c>
      <c r="AW39" s="3" t="s">
        <v>63</v>
      </c>
      <c r="AX39" s="3">
        <v>20</v>
      </c>
    </row>
    <row r="40" spans="1:50" ht="12.5" x14ac:dyDescent="0.25">
      <c r="A40" s="3" t="s">
        <v>81</v>
      </c>
      <c r="B40" s="3" t="s">
        <v>82</v>
      </c>
      <c r="C40" s="3" t="s">
        <v>52</v>
      </c>
      <c r="D40" s="3">
        <v>22.569700000000001</v>
      </c>
      <c r="E40" s="3">
        <v>88.369699999999995</v>
      </c>
      <c r="F40" s="3" t="s">
        <v>53</v>
      </c>
      <c r="G40" s="3">
        <v>1750250618</v>
      </c>
      <c r="H40" s="4">
        <f t="shared" ca="1" si="0"/>
        <v>46118.952512962962</v>
      </c>
      <c r="I40" s="5">
        <f t="shared" ca="1" si="1"/>
        <v>46118.952512962962</v>
      </c>
      <c r="J40" s="3">
        <v>1750464000</v>
      </c>
      <c r="K40" s="3">
        <v>34.700000000000003</v>
      </c>
      <c r="L40" s="3">
        <v>94.4</v>
      </c>
      <c r="M40" s="3">
        <v>27.8</v>
      </c>
      <c r="N40" s="3">
        <v>82</v>
      </c>
      <c r="O40" s="3">
        <v>31</v>
      </c>
      <c r="P40" s="3">
        <v>87.8</v>
      </c>
      <c r="Q40" s="3">
        <v>12.1</v>
      </c>
      <c r="R40" s="3">
        <v>19.399999999999999</v>
      </c>
      <c r="S40" s="3">
        <v>0.27</v>
      </c>
      <c r="T40" s="3">
        <v>0.01</v>
      </c>
      <c r="U40" s="3">
        <v>0</v>
      </c>
      <c r="V40" s="3">
        <v>10</v>
      </c>
      <c r="W40" s="3">
        <v>6</v>
      </c>
      <c r="X40" s="3">
        <v>67</v>
      </c>
      <c r="Y40" s="3">
        <v>1</v>
      </c>
      <c r="Z40" s="3">
        <v>89</v>
      </c>
      <c r="AA40" s="3">
        <v>0</v>
      </c>
      <c r="AB40" s="3">
        <v>0</v>
      </c>
      <c r="AC40" s="3" t="s">
        <v>64</v>
      </c>
      <c r="AD40" s="6" t="s">
        <v>65</v>
      </c>
      <c r="AE40" s="3">
        <v>1063</v>
      </c>
      <c r="AF40" s="3">
        <v>2.1</v>
      </c>
      <c r="AG40" s="3">
        <v>741.46458333333305</v>
      </c>
      <c r="AH40" s="3">
        <v>18.291875000000001</v>
      </c>
      <c r="AI40" s="3">
        <v>106.083333333333</v>
      </c>
      <c r="AJ40" s="3">
        <v>21.4754166666667</v>
      </c>
      <c r="AK40" s="3">
        <v>56.517499999999998</v>
      </c>
      <c r="AL40" s="3">
        <v>59.916874999999997</v>
      </c>
      <c r="AM40" s="3">
        <v>3</v>
      </c>
      <c r="AN40" s="3">
        <v>7</v>
      </c>
      <c r="AO40" s="7">
        <v>0.20347222222222222</v>
      </c>
      <c r="AP40" s="7">
        <v>0.76666666666666672</v>
      </c>
      <c r="AQ40" s="7">
        <v>3.5416666666666666E-2</v>
      </c>
      <c r="AR40" s="7">
        <v>0.58819444444444446</v>
      </c>
      <c r="AS40" s="3" t="s">
        <v>59</v>
      </c>
      <c r="AT40" s="3">
        <v>26</v>
      </c>
      <c r="AU40" s="3">
        <v>1</v>
      </c>
      <c r="AV40" s="3">
        <v>1</v>
      </c>
      <c r="AW40" s="3" t="s">
        <v>66</v>
      </c>
      <c r="AX40" s="3">
        <v>21</v>
      </c>
    </row>
    <row r="41" spans="1:50" ht="12.5" x14ac:dyDescent="0.25">
      <c r="A41" s="3" t="s">
        <v>81</v>
      </c>
      <c r="B41" s="3" t="s">
        <v>82</v>
      </c>
      <c r="C41" s="3" t="s">
        <v>52</v>
      </c>
      <c r="D41" s="3">
        <v>22.569700000000001</v>
      </c>
      <c r="E41" s="3">
        <v>88.369699999999995</v>
      </c>
      <c r="F41" s="3" t="s">
        <v>53</v>
      </c>
      <c r="G41" s="3">
        <v>1750250618</v>
      </c>
      <c r="H41" s="4">
        <f t="shared" ca="1" si="0"/>
        <v>46118.952512962962</v>
      </c>
      <c r="I41" s="5">
        <f t="shared" ca="1" si="1"/>
        <v>46118.952512962962</v>
      </c>
      <c r="J41" s="3">
        <v>1750550400</v>
      </c>
      <c r="K41" s="3">
        <v>36.799999999999997</v>
      </c>
      <c r="L41" s="3">
        <v>98.2</v>
      </c>
      <c r="M41" s="3">
        <v>29</v>
      </c>
      <c r="N41" s="3">
        <v>84.3</v>
      </c>
      <c r="O41" s="3">
        <v>31.8</v>
      </c>
      <c r="P41" s="3">
        <v>89.3</v>
      </c>
      <c r="Q41" s="3">
        <v>13.9</v>
      </c>
      <c r="R41" s="3">
        <v>22.3</v>
      </c>
      <c r="S41" s="3">
        <v>0.44</v>
      </c>
      <c r="T41" s="3">
        <v>0.02</v>
      </c>
      <c r="U41" s="3">
        <v>0</v>
      </c>
      <c r="V41" s="3">
        <v>10</v>
      </c>
      <c r="W41" s="3">
        <v>6</v>
      </c>
      <c r="X41" s="3">
        <v>65</v>
      </c>
      <c r="Y41" s="3">
        <v>1</v>
      </c>
      <c r="Z41" s="3">
        <v>73</v>
      </c>
      <c r="AA41" s="3">
        <v>0</v>
      </c>
      <c r="AB41" s="3">
        <v>0</v>
      </c>
      <c r="AC41" s="3" t="s">
        <v>64</v>
      </c>
      <c r="AD41" s="6" t="s">
        <v>65</v>
      </c>
      <c r="AE41" s="3">
        <v>1063</v>
      </c>
      <c r="AF41" s="3">
        <v>2.8</v>
      </c>
      <c r="AG41" s="3">
        <v>587.22083333333296</v>
      </c>
      <c r="AH41" s="3">
        <v>13.828749999999999</v>
      </c>
      <c r="AI41" s="3">
        <v>121.083333333333</v>
      </c>
      <c r="AJ41" s="3">
        <v>24.959583333333299</v>
      </c>
      <c r="AK41" s="3">
        <v>57.673749999999998</v>
      </c>
      <c r="AL41" s="3">
        <v>61.142499999999998</v>
      </c>
      <c r="AM41" s="3">
        <v>3</v>
      </c>
      <c r="AN41" s="3">
        <v>7</v>
      </c>
      <c r="AO41" s="7">
        <v>0.20347222222222222</v>
      </c>
      <c r="AP41" s="7">
        <v>0.76666666666666672</v>
      </c>
      <c r="AQ41" s="7">
        <v>6.458333333333334E-2</v>
      </c>
      <c r="AR41" s="7">
        <v>0.63472222222222219</v>
      </c>
      <c r="AS41" s="3" t="s">
        <v>59</v>
      </c>
      <c r="AT41" s="3">
        <v>16</v>
      </c>
      <c r="AU41" s="3">
        <v>1</v>
      </c>
      <c r="AV41" s="3">
        <v>1</v>
      </c>
      <c r="AW41" s="3" t="s">
        <v>69</v>
      </c>
      <c r="AX41" s="3">
        <v>22</v>
      </c>
    </row>
    <row r="42" spans="1:50" ht="12.5" x14ac:dyDescent="0.25">
      <c r="A42" s="3" t="s">
        <v>81</v>
      </c>
      <c r="B42" s="3" t="s">
        <v>82</v>
      </c>
      <c r="C42" s="3" t="s">
        <v>52</v>
      </c>
      <c r="D42" s="3">
        <v>22.569700000000001</v>
      </c>
      <c r="E42" s="3">
        <v>88.369699999999995</v>
      </c>
      <c r="F42" s="3" t="s">
        <v>53</v>
      </c>
      <c r="G42" s="3">
        <v>1750250618</v>
      </c>
      <c r="H42" s="4">
        <f t="shared" ca="1" si="0"/>
        <v>46118.952512962962</v>
      </c>
      <c r="I42" s="5">
        <f t="shared" ca="1" si="1"/>
        <v>46118.952512962962</v>
      </c>
      <c r="J42" s="3">
        <v>1750636800</v>
      </c>
      <c r="K42" s="3">
        <v>35</v>
      </c>
      <c r="L42" s="3">
        <v>95</v>
      </c>
      <c r="M42" s="3">
        <v>28.8</v>
      </c>
      <c r="N42" s="3">
        <v>83.8</v>
      </c>
      <c r="O42" s="3">
        <v>30.6</v>
      </c>
      <c r="P42" s="3">
        <v>87.1</v>
      </c>
      <c r="Q42" s="3">
        <v>12.3</v>
      </c>
      <c r="R42" s="3">
        <v>19.8</v>
      </c>
      <c r="S42" s="3">
        <v>0.08</v>
      </c>
      <c r="T42" s="3">
        <v>0</v>
      </c>
      <c r="U42" s="3">
        <v>0</v>
      </c>
      <c r="V42" s="3">
        <v>10</v>
      </c>
      <c r="W42" s="3">
        <v>6</v>
      </c>
      <c r="X42" s="3">
        <v>70</v>
      </c>
      <c r="Y42" s="3">
        <v>0</v>
      </c>
      <c r="Z42" s="3">
        <v>0</v>
      </c>
      <c r="AA42" s="3">
        <v>0</v>
      </c>
      <c r="AB42" s="3">
        <v>0</v>
      </c>
      <c r="AC42" s="3" t="s">
        <v>67</v>
      </c>
      <c r="AD42" s="6" t="s">
        <v>68</v>
      </c>
      <c r="AE42" s="3">
        <v>1003</v>
      </c>
      <c r="AF42" s="3">
        <v>8</v>
      </c>
      <c r="AO42" s="7">
        <v>0.20347222222222222</v>
      </c>
      <c r="AP42" s="7">
        <v>0.76666666666666672</v>
      </c>
      <c r="AQ42" s="7">
        <v>9.7916666666666666E-2</v>
      </c>
      <c r="AR42" s="7">
        <v>0.68263888888888891</v>
      </c>
      <c r="AS42" s="3" t="s">
        <v>59</v>
      </c>
      <c r="AT42" s="3">
        <v>9</v>
      </c>
      <c r="AU42" s="3">
        <v>1</v>
      </c>
      <c r="AV42" s="3">
        <v>1</v>
      </c>
      <c r="AW42" s="3" t="s">
        <v>70</v>
      </c>
      <c r="AX42" s="3">
        <v>23</v>
      </c>
    </row>
    <row r="43" spans="1:50" ht="12.5" x14ac:dyDescent="0.25">
      <c r="A43" s="3" t="s">
        <v>81</v>
      </c>
      <c r="B43" s="3" t="s">
        <v>82</v>
      </c>
      <c r="C43" s="3" t="s">
        <v>52</v>
      </c>
      <c r="D43" s="3">
        <v>22.569700000000001</v>
      </c>
      <c r="E43" s="3">
        <v>88.369699999999995</v>
      </c>
      <c r="F43" s="3" t="s">
        <v>53</v>
      </c>
      <c r="G43" s="3">
        <v>1750250618</v>
      </c>
      <c r="H43" s="4">
        <f t="shared" ca="1" si="0"/>
        <v>46118.952512962962</v>
      </c>
      <c r="I43" s="5">
        <f t="shared" ca="1" si="1"/>
        <v>46118.952512962962</v>
      </c>
      <c r="J43" s="3">
        <v>1750723200</v>
      </c>
      <c r="K43" s="3">
        <v>34.6</v>
      </c>
      <c r="L43" s="3">
        <v>94.3</v>
      </c>
      <c r="M43" s="3">
        <v>28.1</v>
      </c>
      <c r="N43" s="3">
        <v>82.6</v>
      </c>
      <c r="O43" s="3">
        <v>31</v>
      </c>
      <c r="P43" s="3">
        <v>87.7</v>
      </c>
      <c r="Q43" s="3">
        <v>7.4</v>
      </c>
      <c r="R43" s="3">
        <v>11.9</v>
      </c>
      <c r="S43" s="3">
        <v>1.63</v>
      </c>
      <c r="T43" s="3">
        <v>0.06</v>
      </c>
      <c r="U43" s="3">
        <v>0</v>
      </c>
      <c r="V43" s="3">
        <v>9.3000000000000007</v>
      </c>
      <c r="W43" s="3">
        <v>5</v>
      </c>
      <c r="X43" s="3">
        <v>68</v>
      </c>
      <c r="Y43" s="3">
        <v>1</v>
      </c>
      <c r="Z43" s="3">
        <v>88</v>
      </c>
      <c r="AA43" s="3">
        <v>0</v>
      </c>
      <c r="AB43" s="3">
        <v>0</v>
      </c>
      <c r="AC43" s="3" t="s">
        <v>64</v>
      </c>
      <c r="AD43" s="6" t="s">
        <v>65</v>
      </c>
      <c r="AE43" s="3">
        <v>1063</v>
      </c>
      <c r="AF43" s="3">
        <v>7</v>
      </c>
      <c r="AO43" s="7">
        <v>0.20347222222222222</v>
      </c>
      <c r="AP43" s="7">
        <v>0.76666666666666672</v>
      </c>
      <c r="AQ43" s="7">
        <v>0.1361111111111111</v>
      </c>
      <c r="AR43" s="7">
        <v>0.73055555555555551</v>
      </c>
      <c r="AS43" s="3" t="s">
        <v>59</v>
      </c>
      <c r="AT43" s="3">
        <v>3</v>
      </c>
      <c r="AU43" s="3">
        <v>1</v>
      </c>
      <c r="AV43" s="3">
        <v>1</v>
      </c>
      <c r="AW43" s="3" t="s">
        <v>71</v>
      </c>
      <c r="AX43" s="3">
        <v>24</v>
      </c>
    </row>
    <row r="44" spans="1:50" ht="12.5" x14ac:dyDescent="0.25">
      <c r="A44" s="3" t="s">
        <v>83</v>
      </c>
      <c r="B44" s="3" t="s">
        <v>84</v>
      </c>
      <c r="C44" s="3" t="s">
        <v>52</v>
      </c>
      <c r="D44" s="3">
        <v>18.975000000000001</v>
      </c>
      <c r="E44" s="3">
        <v>72.825999999999993</v>
      </c>
      <c r="F44" s="3" t="s">
        <v>53</v>
      </c>
      <c r="G44" s="3">
        <v>1750250858</v>
      </c>
      <c r="H44" s="4">
        <f t="shared" ca="1" si="0"/>
        <v>46118.952512962962</v>
      </c>
      <c r="I44" s="5">
        <f t="shared" ca="1" si="1"/>
        <v>46118.952512962962</v>
      </c>
      <c r="J44" s="3">
        <v>1750204800</v>
      </c>
      <c r="K44" s="3">
        <v>28.6</v>
      </c>
      <c r="L44" s="3">
        <v>83.4</v>
      </c>
      <c r="M44" s="3">
        <v>26.8</v>
      </c>
      <c r="N44" s="3">
        <v>80.2</v>
      </c>
      <c r="O44" s="3">
        <v>27.8</v>
      </c>
      <c r="P44" s="3">
        <v>82.1</v>
      </c>
      <c r="Q44" s="3">
        <v>26.6</v>
      </c>
      <c r="R44" s="3">
        <v>42.8</v>
      </c>
      <c r="S44" s="3">
        <v>42.16</v>
      </c>
      <c r="T44" s="3">
        <v>1.66</v>
      </c>
      <c r="U44" s="3">
        <v>0</v>
      </c>
      <c r="V44" s="3">
        <v>8.3000000000000007</v>
      </c>
      <c r="W44" s="3">
        <v>5</v>
      </c>
      <c r="X44" s="3">
        <v>86</v>
      </c>
      <c r="Y44" s="3">
        <v>1</v>
      </c>
      <c r="Z44" s="3">
        <v>98</v>
      </c>
      <c r="AA44" s="3">
        <v>0</v>
      </c>
      <c r="AB44" s="3">
        <v>0</v>
      </c>
      <c r="AC44" s="3" t="s">
        <v>54</v>
      </c>
      <c r="AD44" s="6" t="s">
        <v>55</v>
      </c>
      <c r="AE44" s="3">
        <v>1195</v>
      </c>
      <c r="AF44" s="3">
        <v>1.8</v>
      </c>
      <c r="AG44" s="3">
        <v>263.933333333333</v>
      </c>
      <c r="AH44" s="3">
        <v>7.03</v>
      </c>
      <c r="AI44" s="3">
        <v>64.5</v>
      </c>
      <c r="AJ44" s="3">
        <v>5.8968749999999996</v>
      </c>
      <c r="AK44" s="3">
        <v>22.862916666666699</v>
      </c>
      <c r="AL44" s="3">
        <v>47.845624999999998</v>
      </c>
      <c r="AM44" s="3">
        <v>2</v>
      </c>
      <c r="AN44" s="3">
        <v>2</v>
      </c>
      <c r="AO44" s="7">
        <v>0.25138888888888888</v>
      </c>
      <c r="AP44" s="7">
        <v>0.8041666666666667</v>
      </c>
      <c r="AQ44" s="7">
        <v>3.472222222222222E-3</v>
      </c>
      <c r="AR44" s="7">
        <v>0.50763888888888886</v>
      </c>
      <c r="AS44" s="3" t="s">
        <v>57</v>
      </c>
      <c r="AT44" s="3">
        <v>59</v>
      </c>
      <c r="AU44" s="3">
        <v>0</v>
      </c>
      <c r="AV44" s="3">
        <v>0</v>
      </c>
      <c r="AW44" s="3" t="s">
        <v>58</v>
      </c>
      <c r="AX44" s="3">
        <v>18</v>
      </c>
    </row>
    <row r="45" spans="1:50" ht="12.5" x14ac:dyDescent="0.25">
      <c r="A45" s="3" t="s">
        <v>83</v>
      </c>
      <c r="B45" s="3" t="s">
        <v>84</v>
      </c>
      <c r="C45" s="3" t="s">
        <v>52</v>
      </c>
      <c r="D45" s="3">
        <v>18.975000000000001</v>
      </c>
      <c r="E45" s="3">
        <v>72.825999999999993</v>
      </c>
      <c r="F45" s="3" t="s">
        <v>53</v>
      </c>
      <c r="G45" s="3">
        <v>1750250858</v>
      </c>
      <c r="H45" s="4">
        <f t="shared" ca="1" si="0"/>
        <v>46118.952512962962</v>
      </c>
      <c r="I45" s="5">
        <f t="shared" ca="1" si="1"/>
        <v>46118.952512962962</v>
      </c>
      <c r="J45" s="3">
        <v>1750291200</v>
      </c>
      <c r="K45" s="3">
        <v>27.4</v>
      </c>
      <c r="L45" s="3">
        <v>81.3</v>
      </c>
      <c r="M45" s="3">
        <v>26.2</v>
      </c>
      <c r="N45" s="3">
        <v>79.099999999999994</v>
      </c>
      <c r="O45" s="3">
        <v>26.8</v>
      </c>
      <c r="P45" s="3">
        <v>80.2</v>
      </c>
      <c r="Q45" s="3">
        <v>24.4</v>
      </c>
      <c r="R45" s="3">
        <v>39.200000000000003</v>
      </c>
      <c r="S45" s="3">
        <v>48.01</v>
      </c>
      <c r="T45" s="3">
        <v>1.89</v>
      </c>
      <c r="U45" s="3">
        <v>0</v>
      </c>
      <c r="V45" s="3">
        <v>8.5</v>
      </c>
      <c r="W45" s="3">
        <v>5</v>
      </c>
      <c r="X45" s="3">
        <v>86</v>
      </c>
      <c r="Y45" s="3">
        <v>1</v>
      </c>
      <c r="Z45" s="3">
        <v>93</v>
      </c>
      <c r="AA45" s="3">
        <v>0</v>
      </c>
      <c r="AB45" s="3">
        <v>0</v>
      </c>
      <c r="AC45" s="3" t="s">
        <v>54</v>
      </c>
      <c r="AD45" s="6" t="s">
        <v>55</v>
      </c>
      <c r="AE45" s="3">
        <v>1195</v>
      </c>
      <c r="AF45" s="3">
        <v>0.2</v>
      </c>
      <c r="AG45" s="3">
        <v>260.00208333333302</v>
      </c>
      <c r="AH45" s="3">
        <v>8.7643749999999994</v>
      </c>
      <c r="AI45" s="3">
        <v>62.8333333333333</v>
      </c>
      <c r="AJ45" s="3">
        <v>7.6543749999999999</v>
      </c>
      <c r="AK45" s="3">
        <v>29.283958333333299</v>
      </c>
      <c r="AL45" s="3">
        <v>61.682083333333303</v>
      </c>
      <c r="AM45" s="3">
        <v>2</v>
      </c>
      <c r="AN45" s="3">
        <v>3</v>
      </c>
      <c r="AO45" s="7">
        <v>0.25138888888888888</v>
      </c>
      <c r="AP45" s="7">
        <v>0.80486111111111114</v>
      </c>
      <c r="AQ45" s="7">
        <v>2.8472222222222222E-2</v>
      </c>
      <c r="AR45" s="7">
        <v>0.54652777777777772</v>
      </c>
      <c r="AS45" s="3" t="s">
        <v>59</v>
      </c>
      <c r="AT45" s="3">
        <v>48</v>
      </c>
      <c r="AU45" s="3">
        <v>1</v>
      </c>
      <c r="AV45" s="3">
        <v>0</v>
      </c>
      <c r="AW45" s="3" t="s">
        <v>60</v>
      </c>
      <c r="AX45" s="3">
        <v>19</v>
      </c>
    </row>
    <row r="46" spans="1:50" ht="12.5" x14ac:dyDescent="0.25">
      <c r="A46" s="3" t="s">
        <v>83</v>
      </c>
      <c r="B46" s="3" t="s">
        <v>84</v>
      </c>
      <c r="C46" s="3" t="s">
        <v>52</v>
      </c>
      <c r="D46" s="3">
        <v>18.975000000000001</v>
      </c>
      <c r="E46" s="3">
        <v>72.825999999999993</v>
      </c>
      <c r="F46" s="3" t="s">
        <v>53</v>
      </c>
      <c r="G46" s="3">
        <v>1750250858</v>
      </c>
      <c r="H46" s="4">
        <f t="shared" ca="1" si="0"/>
        <v>46118.952512962962</v>
      </c>
      <c r="I46" s="5">
        <f t="shared" ca="1" si="1"/>
        <v>46118.952512962962</v>
      </c>
      <c r="J46" s="3">
        <v>1750377600</v>
      </c>
      <c r="K46" s="3">
        <v>28.6</v>
      </c>
      <c r="L46" s="3">
        <v>83.6</v>
      </c>
      <c r="M46" s="3">
        <v>27.3</v>
      </c>
      <c r="N46" s="3">
        <v>81.2</v>
      </c>
      <c r="O46" s="3">
        <v>28</v>
      </c>
      <c r="P46" s="3">
        <v>82.4</v>
      </c>
      <c r="Q46" s="3">
        <v>18.8</v>
      </c>
      <c r="R46" s="3">
        <v>30.2</v>
      </c>
      <c r="S46" s="3">
        <v>31.53</v>
      </c>
      <c r="T46" s="3">
        <v>1.24</v>
      </c>
      <c r="U46" s="3">
        <v>0</v>
      </c>
      <c r="V46" s="3">
        <v>9.6</v>
      </c>
      <c r="W46" s="3">
        <v>5</v>
      </c>
      <c r="X46" s="3">
        <v>81</v>
      </c>
      <c r="Y46" s="3">
        <v>1</v>
      </c>
      <c r="Z46" s="3">
        <v>84</v>
      </c>
      <c r="AA46" s="3">
        <v>0</v>
      </c>
      <c r="AB46" s="3">
        <v>0</v>
      </c>
      <c r="AC46" s="3" t="s">
        <v>54</v>
      </c>
      <c r="AD46" s="6" t="s">
        <v>55</v>
      </c>
      <c r="AE46" s="3">
        <v>1195</v>
      </c>
      <c r="AF46" s="3">
        <v>1.9</v>
      </c>
      <c r="AG46" s="3">
        <v>216.14166666666699</v>
      </c>
      <c r="AH46" s="3">
        <v>7.6543749999999999</v>
      </c>
      <c r="AI46" s="3">
        <v>57.6666666666667</v>
      </c>
      <c r="AJ46" s="3">
        <v>6.6831250000000004</v>
      </c>
      <c r="AK46" s="3">
        <v>23.741666666666699</v>
      </c>
      <c r="AL46" s="3">
        <v>50.797916666666701</v>
      </c>
      <c r="AM46" s="3">
        <v>2</v>
      </c>
      <c r="AN46" s="3">
        <v>2</v>
      </c>
      <c r="AO46" s="7">
        <v>0.25138888888888888</v>
      </c>
      <c r="AP46" s="7">
        <v>0.80486111111111114</v>
      </c>
      <c r="AQ46" s="7">
        <v>5.486111111111111E-2</v>
      </c>
      <c r="AR46" s="7">
        <v>0.58680555555555558</v>
      </c>
      <c r="AS46" s="3" t="s">
        <v>59</v>
      </c>
      <c r="AT46" s="3">
        <v>37</v>
      </c>
      <c r="AU46" s="3">
        <v>1</v>
      </c>
      <c r="AV46" s="3">
        <v>0</v>
      </c>
      <c r="AW46" s="3" t="s">
        <v>63</v>
      </c>
      <c r="AX46" s="3">
        <v>20</v>
      </c>
    </row>
    <row r="47" spans="1:50" ht="12.5" x14ac:dyDescent="0.25">
      <c r="A47" s="3" t="s">
        <v>83</v>
      </c>
      <c r="B47" s="3" t="s">
        <v>84</v>
      </c>
      <c r="C47" s="3" t="s">
        <v>52</v>
      </c>
      <c r="D47" s="3">
        <v>18.975000000000001</v>
      </c>
      <c r="E47" s="3">
        <v>72.825999999999993</v>
      </c>
      <c r="F47" s="3" t="s">
        <v>53</v>
      </c>
      <c r="G47" s="3">
        <v>1750250858</v>
      </c>
      <c r="H47" s="4">
        <f t="shared" ca="1" si="0"/>
        <v>46118.952512962962</v>
      </c>
      <c r="I47" s="5">
        <f t="shared" ca="1" si="1"/>
        <v>46118.952512962962</v>
      </c>
      <c r="J47" s="3">
        <v>1750464000</v>
      </c>
      <c r="K47" s="3">
        <v>28.8</v>
      </c>
      <c r="L47" s="3">
        <v>83.9</v>
      </c>
      <c r="M47" s="3">
        <v>27.8</v>
      </c>
      <c r="N47" s="3">
        <v>82</v>
      </c>
      <c r="O47" s="3">
        <v>28.3</v>
      </c>
      <c r="P47" s="3">
        <v>82.9</v>
      </c>
      <c r="Q47" s="3">
        <v>18.3</v>
      </c>
      <c r="R47" s="3">
        <v>29.5</v>
      </c>
      <c r="S47" s="3">
        <v>16.329999999999998</v>
      </c>
      <c r="T47" s="3">
        <v>0.64</v>
      </c>
      <c r="U47" s="3">
        <v>0</v>
      </c>
      <c r="V47" s="3">
        <v>9.4</v>
      </c>
      <c r="W47" s="3">
        <v>5</v>
      </c>
      <c r="X47" s="3">
        <v>79</v>
      </c>
      <c r="Y47" s="3">
        <v>1</v>
      </c>
      <c r="Z47" s="3">
        <v>89</v>
      </c>
      <c r="AA47" s="3">
        <v>0</v>
      </c>
      <c r="AB47" s="3">
        <v>0</v>
      </c>
      <c r="AC47" s="3" t="s">
        <v>61</v>
      </c>
      <c r="AD47" s="6" t="s">
        <v>62</v>
      </c>
      <c r="AE47" s="3">
        <v>1189</v>
      </c>
      <c r="AF47" s="3">
        <v>2.2999999999999998</v>
      </c>
      <c r="AG47" s="3">
        <v>214.98541666666699</v>
      </c>
      <c r="AH47" s="3">
        <v>7.3229166666666696</v>
      </c>
      <c r="AI47" s="3">
        <v>52.625</v>
      </c>
      <c r="AJ47" s="3">
        <v>7.3383333333333303</v>
      </c>
      <c r="AK47" s="3">
        <v>25.537708333333299</v>
      </c>
      <c r="AL47" s="3">
        <v>56.324791666666698</v>
      </c>
      <c r="AM47" s="3">
        <v>2</v>
      </c>
      <c r="AN47" s="3">
        <v>3</v>
      </c>
      <c r="AO47" s="7">
        <v>0.25138888888888888</v>
      </c>
      <c r="AP47" s="7">
        <v>0.80486111111111114</v>
      </c>
      <c r="AQ47" s="7">
        <v>8.2638888888888887E-2</v>
      </c>
      <c r="AR47" s="7">
        <v>0.62986111111111109</v>
      </c>
      <c r="AS47" s="3" t="s">
        <v>59</v>
      </c>
      <c r="AT47" s="3">
        <v>26</v>
      </c>
      <c r="AU47" s="3">
        <v>1</v>
      </c>
      <c r="AV47" s="3">
        <v>0</v>
      </c>
      <c r="AW47" s="3" t="s">
        <v>66</v>
      </c>
      <c r="AX47" s="3">
        <v>21</v>
      </c>
    </row>
    <row r="48" spans="1:50" ht="12.5" x14ac:dyDescent="0.25">
      <c r="A48" s="3" t="s">
        <v>83</v>
      </c>
      <c r="B48" s="3" t="s">
        <v>84</v>
      </c>
      <c r="C48" s="3" t="s">
        <v>52</v>
      </c>
      <c r="D48" s="3">
        <v>18.975000000000001</v>
      </c>
      <c r="E48" s="3">
        <v>72.825999999999993</v>
      </c>
      <c r="F48" s="3" t="s">
        <v>53</v>
      </c>
      <c r="G48" s="3">
        <v>1750250858</v>
      </c>
      <c r="H48" s="4">
        <f t="shared" ca="1" si="0"/>
        <v>46118.952512962962</v>
      </c>
      <c r="I48" s="5">
        <f t="shared" ca="1" si="1"/>
        <v>46118.952512962962</v>
      </c>
      <c r="J48" s="3">
        <v>1750550400</v>
      </c>
      <c r="K48" s="3">
        <v>28.8</v>
      </c>
      <c r="L48" s="3">
        <v>83.9</v>
      </c>
      <c r="M48" s="3">
        <v>27.6</v>
      </c>
      <c r="N48" s="3">
        <v>81.7</v>
      </c>
      <c r="O48" s="3">
        <v>28.2</v>
      </c>
      <c r="P48" s="3">
        <v>82.8</v>
      </c>
      <c r="Q48" s="3">
        <v>19</v>
      </c>
      <c r="R48" s="3">
        <v>30.6</v>
      </c>
      <c r="S48" s="3">
        <v>9.93</v>
      </c>
      <c r="T48" s="3">
        <v>0.39</v>
      </c>
      <c r="U48" s="3">
        <v>0</v>
      </c>
      <c r="V48" s="3">
        <v>9.3000000000000007</v>
      </c>
      <c r="W48" s="3">
        <v>5</v>
      </c>
      <c r="X48" s="3">
        <v>78</v>
      </c>
      <c r="Y48" s="3">
        <v>1</v>
      </c>
      <c r="Z48" s="3">
        <v>89</v>
      </c>
      <c r="AA48" s="3">
        <v>0</v>
      </c>
      <c r="AB48" s="3">
        <v>0</v>
      </c>
      <c r="AC48" s="3" t="s">
        <v>61</v>
      </c>
      <c r="AD48" s="6" t="s">
        <v>62</v>
      </c>
      <c r="AE48" s="3">
        <v>1189</v>
      </c>
      <c r="AF48" s="3">
        <v>3.8</v>
      </c>
      <c r="AG48" s="3">
        <v>197.79583333333301</v>
      </c>
      <c r="AH48" s="3">
        <v>5.7966666666666704</v>
      </c>
      <c r="AI48" s="3">
        <v>54.5</v>
      </c>
      <c r="AJ48" s="3">
        <v>8.2633333333333301</v>
      </c>
      <c r="AK48" s="3">
        <v>27.0254166666667</v>
      </c>
      <c r="AL48" s="3">
        <v>60.155833333333298</v>
      </c>
      <c r="AM48" s="3">
        <v>2</v>
      </c>
      <c r="AN48" s="3">
        <v>3</v>
      </c>
      <c r="AO48" s="7">
        <v>0.25138888888888888</v>
      </c>
      <c r="AP48" s="7">
        <v>0.80486111111111114</v>
      </c>
      <c r="AQ48" s="7">
        <v>0.11319444444444444</v>
      </c>
      <c r="AR48" s="7">
        <v>0.6743055555555556</v>
      </c>
      <c r="AS48" s="3" t="s">
        <v>59</v>
      </c>
      <c r="AT48" s="3">
        <v>16</v>
      </c>
      <c r="AU48" s="3">
        <v>1</v>
      </c>
      <c r="AV48" s="3">
        <v>0</v>
      </c>
      <c r="AW48" s="3" t="s">
        <v>69</v>
      </c>
      <c r="AX48" s="3">
        <v>22</v>
      </c>
    </row>
    <row r="49" spans="1:50" ht="12.5" x14ac:dyDescent="0.25">
      <c r="A49" s="3" t="s">
        <v>83</v>
      </c>
      <c r="B49" s="3" t="s">
        <v>84</v>
      </c>
      <c r="C49" s="3" t="s">
        <v>52</v>
      </c>
      <c r="D49" s="3">
        <v>18.975000000000001</v>
      </c>
      <c r="E49" s="3">
        <v>72.825999999999993</v>
      </c>
      <c r="F49" s="3" t="s">
        <v>53</v>
      </c>
      <c r="G49" s="3">
        <v>1750250858</v>
      </c>
      <c r="H49" s="4">
        <f t="shared" ca="1" si="0"/>
        <v>46118.952512962962</v>
      </c>
      <c r="I49" s="5">
        <f t="shared" ca="1" si="1"/>
        <v>46118.952512962962</v>
      </c>
      <c r="J49" s="3">
        <v>1750636800</v>
      </c>
      <c r="K49" s="3">
        <v>28.1</v>
      </c>
      <c r="L49" s="3">
        <v>82.6</v>
      </c>
      <c r="M49" s="3">
        <v>27.5</v>
      </c>
      <c r="N49" s="3">
        <v>81.400000000000006</v>
      </c>
      <c r="O49" s="3">
        <v>27.7</v>
      </c>
      <c r="P49" s="3">
        <v>81.900000000000006</v>
      </c>
      <c r="Q49" s="3">
        <v>23</v>
      </c>
      <c r="R49" s="3">
        <v>37.1</v>
      </c>
      <c r="S49" s="3">
        <v>7.04</v>
      </c>
      <c r="T49" s="3">
        <v>0.28000000000000003</v>
      </c>
      <c r="U49" s="3">
        <v>0</v>
      </c>
      <c r="V49" s="3">
        <v>8.6</v>
      </c>
      <c r="W49" s="3">
        <v>5</v>
      </c>
      <c r="X49" s="3">
        <v>81</v>
      </c>
      <c r="Y49" s="3">
        <v>1</v>
      </c>
      <c r="Z49" s="3">
        <v>83</v>
      </c>
      <c r="AA49" s="3">
        <v>0</v>
      </c>
      <c r="AB49" s="3">
        <v>0</v>
      </c>
      <c r="AC49" s="3" t="s">
        <v>61</v>
      </c>
      <c r="AD49" s="6" t="s">
        <v>62</v>
      </c>
      <c r="AE49" s="3">
        <v>1189</v>
      </c>
      <c r="AF49" s="3">
        <v>6</v>
      </c>
      <c r="AO49" s="7">
        <v>0.25208333333333333</v>
      </c>
      <c r="AP49" s="7">
        <v>0.80486111111111114</v>
      </c>
      <c r="AQ49" s="7">
        <v>0.14791666666666667</v>
      </c>
      <c r="AR49" s="7">
        <v>0.72222222222222221</v>
      </c>
      <c r="AS49" s="3" t="s">
        <v>59</v>
      </c>
      <c r="AT49" s="3">
        <v>9</v>
      </c>
      <c r="AU49" s="3">
        <v>1</v>
      </c>
      <c r="AV49" s="3">
        <v>0</v>
      </c>
      <c r="AW49" s="3" t="s">
        <v>70</v>
      </c>
      <c r="AX49" s="3">
        <v>23</v>
      </c>
    </row>
    <row r="50" spans="1:50" ht="12.5" x14ac:dyDescent="0.25">
      <c r="A50" s="3" t="s">
        <v>83</v>
      </c>
      <c r="B50" s="3" t="s">
        <v>84</v>
      </c>
      <c r="C50" s="3" t="s">
        <v>52</v>
      </c>
      <c r="D50" s="3">
        <v>18.975000000000001</v>
      </c>
      <c r="E50" s="3">
        <v>72.825999999999993</v>
      </c>
      <c r="F50" s="3" t="s">
        <v>53</v>
      </c>
      <c r="G50" s="3">
        <v>1750250858</v>
      </c>
      <c r="H50" s="4">
        <f t="shared" ca="1" si="0"/>
        <v>46118.952512962962</v>
      </c>
      <c r="I50" s="5">
        <f t="shared" ca="1" si="1"/>
        <v>46118.952512962962</v>
      </c>
      <c r="J50" s="3">
        <v>1750723200</v>
      </c>
      <c r="K50" s="3">
        <v>28.2</v>
      </c>
      <c r="L50" s="3">
        <v>82.7</v>
      </c>
      <c r="M50" s="3">
        <v>27.4</v>
      </c>
      <c r="N50" s="3">
        <v>81.3</v>
      </c>
      <c r="O50" s="3">
        <v>27.8</v>
      </c>
      <c r="P50" s="3">
        <v>82.1</v>
      </c>
      <c r="Q50" s="3">
        <v>23.5</v>
      </c>
      <c r="R50" s="3">
        <v>37.799999999999997</v>
      </c>
      <c r="S50" s="3">
        <v>8.5500000000000007</v>
      </c>
      <c r="T50" s="3">
        <v>0.34</v>
      </c>
      <c r="U50" s="3">
        <v>0</v>
      </c>
      <c r="V50" s="3">
        <v>9.6</v>
      </c>
      <c r="W50" s="3">
        <v>5</v>
      </c>
      <c r="X50" s="3">
        <v>82</v>
      </c>
      <c r="Y50" s="3">
        <v>1</v>
      </c>
      <c r="Z50" s="3">
        <v>85</v>
      </c>
      <c r="AA50" s="3">
        <v>0</v>
      </c>
      <c r="AB50" s="3">
        <v>0</v>
      </c>
      <c r="AC50" s="3" t="s">
        <v>61</v>
      </c>
      <c r="AD50" s="6" t="s">
        <v>62</v>
      </c>
      <c r="AE50" s="3">
        <v>1189</v>
      </c>
      <c r="AF50" s="3">
        <v>6</v>
      </c>
      <c r="AO50" s="7">
        <v>0.25208333333333333</v>
      </c>
      <c r="AP50" s="7">
        <v>0.80555555555555558</v>
      </c>
      <c r="AQ50" s="7">
        <v>0.1875</v>
      </c>
      <c r="AR50" s="7">
        <v>0.76944444444444449</v>
      </c>
      <c r="AS50" s="3" t="s">
        <v>59</v>
      </c>
      <c r="AT50" s="3">
        <v>3</v>
      </c>
      <c r="AU50" s="3">
        <v>1</v>
      </c>
      <c r="AV50" s="3">
        <v>0</v>
      </c>
      <c r="AW50" s="3" t="s">
        <v>71</v>
      </c>
      <c r="AX50" s="3">
        <v>24</v>
      </c>
    </row>
    <row r="51" spans="1:50" ht="12.5" x14ac:dyDescent="0.25">
      <c r="A51" s="3" t="s">
        <v>85</v>
      </c>
      <c r="B51" s="3" t="s">
        <v>86</v>
      </c>
      <c r="C51" s="3" t="s">
        <v>52</v>
      </c>
      <c r="D51" s="3">
        <v>9.9666999999999994</v>
      </c>
      <c r="E51" s="3">
        <v>76.2333</v>
      </c>
      <c r="F51" s="3" t="s">
        <v>53</v>
      </c>
      <c r="G51" s="3">
        <v>1750250888</v>
      </c>
      <c r="H51" s="4">
        <f t="shared" ca="1" si="0"/>
        <v>46118.952512962962</v>
      </c>
      <c r="I51" s="5">
        <f t="shared" ca="1" si="1"/>
        <v>46118.952512962962</v>
      </c>
      <c r="J51" s="3">
        <v>1750204800</v>
      </c>
      <c r="K51" s="3">
        <v>28.2</v>
      </c>
      <c r="L51" s="3">
        <v>82.8</v>
      </c>
      <c r="M51" s="3">
        <v>25.8</v>
      </c>
      <c r="N51" s="3">
        <v>78.5</v>
      </c>
      <c r="O51" s="3">
        <v>26.8</v>
      </c>
      <c r="P51" s="3">
        <v>80.3</v>
      </c>
      <c r="Q51" s="3">
        <v>10.7</v>
      </c>
      <c r="R51" s="3">
        <v>17.3</v>
      </c>
      <c r="S51" s="3">
        <v>29.61</v>
      </c>
      <c r="T51" s="3">
        <v>1.17</v>
      </c>
      <c r="U51" s="3">
        <v>0</v>
      </c>
      <c r="V51" s="3">
        <v>9.4</v>
      </c>
      <c r="W51" s="3">
        <v>5</v>
      </c>
      <c r="X51" s="3">
        <v>84</v>
      </c>
      <c r="Y51" s="3">
        <v>1</v>
      </c>
      <c r="Z51" s="3">
        <v>91</v>
      </c>
      <c r="AA51" s="3">
        <v>0</v>
      </c>
      <c r="AB51" s="3">
        <v>0</v>
      </c>
      <c r="AC51" s="3" t="s">
        <v>54</v>
      </c>
      <c r="AD51" s="6" t="s">
        <v>55</v>
      </c>
      <c r="AE51" s="3">
        <v>1195</v>
      </c>
      <c r="AF51" s="3">
        <v>2.2999999999999998</v>
      </c>
      <c r="AG51" s="3">
        <v>206.04374999999999</v>
      </c>
      <c r="AH51" s="3">
        <v>22.007291666666699</v>
      </c>
      <c r="AI51" s="3">
        <v>37.625</v>
      </c>
      <c r="AJ51" s="3">
        <v>5.3033333333333301</v>
      </c>
      <c r="AK51" s="3">
        <v>21.714375</v>
      </c>
      <c r="AL51" s="3">
        <v>29.2916666666667</v>
      </c>
      <c r="AM51" s="3">
        <v>2</v>
      </c>
      <c r="AN51" s="3">
        <v>2</v>
      </c>
      <c r="AO51" s="7">
        <v>0.25347222222222221</v>
      </c>
      <c r="AP51" s="7">
        <v>0.78263888888888888</v>
      </c>
      <c r="AQ51" s="3" t="s">
        <v>56</v>
      </c>
      <c r="AR51" s="7">
        <v>0.5</v>
      </c>
      <c r="AS51" s="3" t="s">
        <v>57</v>
      </c>
      <c r="AT51" s="3">
        <v>59</v>
      </c>
      <c r="AU51" s="3">
        <v>1</v>
      </c>
      <c r="AV51" s="3">
        <v>0</v>
      </c>
      <c r="AW51" s="3" t="s">
        <v>58</v>
      </c>
      <c r="AX51" s="3">
        <v>18</v>
      </c>
    </row>
    <row r="52" spans="1:50" ht="12.5" x14ac:dyDescent="0.25">
      <c r="A52" s="3" t="s">
        <v>85</v>
      </c>
      <c r="B52" s="3" t="s">
        <v>86</v>
      </c>
      <c r="C52" s="3" t="s">
        <v>52</v>
      </c>
      <c r="D52" s="3">
        <v>9.9666999999999994</v>
      </c>
      <c r="E52" s="3">
        <v>76.2333</v>
      </c>
      <c r="F52" s="3" t="s">
        <v>53</v>
      </c>
      <c r="G52" s="3">
        <v>1750250888</v>
      </c>
      <c r="H52" s="4">
        <f t="shared" ca="1" si="0"/>
        <v>46118.952512962962</v>
      </c>
      <c r="I52" s="5">
        <f t="shared" ca="1" si="1"/>
        <v>46118.952512962962</v>
      </c>
      <c r="J52" s="3">
        <v>1750291200</v>
      </c>
      <c r="K52" s="3">
        <v>29</v>
      </c>
      <c r="L52" s="3">
        <v>84.2</v>
      </c>
      <c r="M52" s="3">
        <v>25.5</v>
      </c>
      <c r="N52" s="3">
        <v>77.900000000000006</v>
      </c>
      <c r="O52" s="3">
        <v>27</v>
      </c>
      <c r="P52" s="3">
        <v>80.5</v>
      </c>
      <c r="Q52" s="3">
        <v>9.4</v>
      </c>
      <c r="R52" s="3">
        <v>15.1</v>
      </c>
      <c r="S52" s="3">
        <v>9.98</v>
      </c>
      <c r="T52" s="3">
        <v>0.39</v>
      </c>
      <c r="U52" s="3">
        <v>0</v>
      </c>
      <c r="V52" s="3">
        <v>9.5</v>
      </c>
      <c r="W52" s="3">
        <v>5</v>
      </c>
      <c r="X52" s="3">
        <v>80</v>
      </c>
      <c r="Y52" s="3">
        <v>1</v>
      </c>
      <c r="Z52" s="3">
        <v>85</v>
      </c>
      <c r="AA52" s="3">
        <v>0</v>
      </c>
      <c r="AB52" s="3">
        <v>0</v>
      </c>
      <c r="AC52" s="3" t="s">
        <v>61</v>
      </c>
      <c r="AD52" s="6" t="s">
        <v>62</v>
      </c>
      <c r="AE52" s="3">
        <v>1189</v>
      </c>
      <c r="AF52" s="3">
        <v>2.7</v>
      </c>
      <c r="AG52" s="3">
        <v>243.81458333333299</v>
      </c>
      <c r="AH52" s="3">
        <v>33.330833333333302</v>
      </c>
      <c r="AI52" s="3">
        <v>33.6666666666667</v>
      </c>
      <c r="AJ52" s="3">
        <v>8.36354166666667</v>
      </c>
      <c r="AK52" s="3">
        <v>32.436666666666703</v>
      </c>
      <c r="AL52" s="3">
        <v>42.850625000000001</v>
      </c>
      <c r="AM52" s="3">
        <v>2</v>
      </c>
      <c r="AN52" s="3">
        <v>3</v>
      </c>
      <c r="AO52" s="7">
        <v>0.25347222222222221</v>
      </c>
      <c r="AP52" s="7">
        <v>0.78333333333333333</v>
      </c>
      <c r="AQ52" s="7">
        <v>1.8749999999999999E-2</v>
      </c>
      <c r="AR52" s="7">
        <v>0.53541666666666665</v>
      </c>
      <c r="AS52" s="3" t="s">
        <v>59</v>
      </c>
      <c r="AT52" s="3">
        <v>48</v>
      </c>
      <c r="AU52" s="3">
        <v>1</v>
      </c>
      <c r="AV52" s="3">
        <v>0</v>
      </c>
      <c r="AW52" s="3" t="s">
        <v>60</v>
      </c>
      <c r="AX52" s="3">
        <v>19</v>
      </c>
    </row>
    <row r="53" spans="1:50" ht="12.5" x14ac:dyDescent="0.25">
      <c r="A53" s="3" t="s">
        <v>85</v>
      </c>
      <c r="B53" s="3" t="s">
        <v>86</v>
      </c>
      <c r="C53" s="3" t="s">
        <v>52</v>
      </c>
      <c r="D53" s="3">
        <v>9.9666999999999994</v>
      </c>
      <c r="E53" s="3">
        <v>76.2333</v>
      </c>
      <c r="F53" s="3" t="s">
        <v>53</v>
      </c>
      <c r="G53" s="3">
        <v>1750250888</v>
      </c>
      <c r="H53" s="4">
        <f t="shared" ca="1" si="0"/>
        <v>46118.952512962962</v>
      </c>
      <c r="I53" s="5">
        <f t="shared" ca="1" si="1"/>
        <v>46118.952512962962</v>
      </c>
      <c r="J53" s="3">
        <v>1750377600</v>
      </c>
      <c r="K53" s="3">
        <v>28.7</v>
      </c>
      <c r="L53" s="3">
        <v>83.6</v>
      </c>
      <c r="M53" s="3">
        <v>25.1</v>
      </c>
      <c r="N53" s="3">
        <v>77.2</v>
      </c>
      <c r="O53" s="3">
        <v>26.8</v>
      </c>
      <c r="P53" s="3">
        <v>80.2</v>
      </c>
      <c r="Q53" s="3">
        <v>8.9</v>
      </c>
      <c r="R53" s="3">
        <v>14.4</v>
      </c>
      <c r="S53" s="3">
        <v>4.34</v>
      </c>
      <c r="T53" s="3">
        <v>0.17</v>
      </c>
      <c r="U53" s="3">
        <v>0</v>
      </c>
      <c r="V53" s="3">
        <v>9.5</v>
      </c>
      <c r="W53" s="3">
        <v>5</v>
      </c>
      <c r="X53" s="3">
        <v>80</v>
      </c>
      <c r="Y53" s="3">
        <v>1</v>
      </c>
      <c r="Z53" s="3">
        <v>87</v>
      </c>
      <c r="AA53" s="3">
        <v>0</v>
      </c>
      <c r="AB53" s="3">
        <v>0</v>
      </c>
      <c r="AC53" s="3" t="s">
        <v>64</v>
      </c>
      <c r="AD53" s="6" t="s">
        <v>65</v>
      </c>
      <c r="AE53" s="3">
        <v>1063</v>
      </c>
      <c r="AF53" s="3">
        <v>2.7</v>
      </c>
      <c r="AG53" s="3">
        <v>232.020833333333</v>
      </c>
      <c r="AH53" s="3">
        <v>27.233541666666699</v>
      </c>
      <c r="AI53" s="3">
        <v>36.375</v>
      </c>
      <c r="AJ53" s="3">
        <v>6.2129166666666702</v>
      </c>
      <c r="AK53" s="3">
        <v>26.817291666666701</v>
      </c>
      <c r="AL53" s="3">
        <v>35.080624999999998</v>
      </c>
      <c r="AM53" s="3">
        <v>2</v>
      </c>
      <c r="AN53" s="3">
        <v>3</v>
      </c>
      <c r="AO53" s="7">
        <v>0.25347222222222221</v>
      </c>
      <c r="AP53" s="7">
        <v>0.78333333333333333</v>
      </c>
      <c r="AQ53" s="7">
        <v>4.791666666666667E-2</v>
      </c>
      <c r="AR53" s="7">
        <v>0.57291666666666663</v>
      </c>
      <c r="AS53" s="3" t="s">
        <v>59</v>
      </c>
      <c r="AT53" s="3">
        <v>37</v>
      </c>
      <c r="AU53" s="3">
        <v>1</v>
      </c>
      <c r="AV53" s="3">
        <v>0</v>
      </c>
      <c r="AW53" s="3" t="s">
        <v>63</v>
      </c>
      <c r="AX53" s="3">
        <v>20</v>
      </c>
    </row>
    <row r="54" spans="1:50" ht="12.5" x14ac:dyDescent="0.25">
      <c r="A54" s="3" t="s">
        <v>85</v>
      </c>
      <c r="B54" s="3" t="s">
        <v>86</v>
      </c>
      <c r="C54" s="3" t="s">
        <v>52</v>
      </c>
      <c r="D54" s="3">
        <v>9.9666999999999994</v>
      </c>
      <c r="E54" s="3">
        <v>76.2333</v>
      </c>
      <c r="F54" s="3" t="s">
        <v>53</v>
      </c>
      <c r="G54" s="3">
        <v>1750250888</v>
      </c>
      <c r="H54" s="4">
        <f t="shared" ca="1" si="0"/>
        <v>46118.952512962962</v>
      </c>
      <c r="I54" s="5">
        <f t="shared" ca="1" si="1"/>
        <v>46118.952512962962</v>
      </c>
      <c r="J54" s="3">
        <v>1750464000</v>
      </c>
      <c r="K54" s="3">
        <v>28.6</v>
      </c>
      <c r="L54" s="3">
        <v>83.6</v>
      </c>
      <c r="M54" s="3">
        <v>25.1</v>
      </c>
      <c r="N54" s="3">
        <v>77.3</v>
      </c>
      <c r="O54" s="3">
        <v>26.8</v>
      </c>
      <c r="P54" s="3">
        <v>80.3</v>
      </c>
      <c r="Q54" s="3">
        <v>10.7</v>
      </c>
      <c r="R54" s="3">
        <v>17.3</v>
      </c>
      <c r="S54" s="3">
        <v>2.14</v>
      </c>
      <c r="T54" s="3">
        <v>0.08</v>
      </c>
      <c r="U54" s="3">
        <v>0</v>
      </c>
      <c r="V54" s="3">
        <v>9.8000000000000007</v>
      </c>
      <c r="W54" s="3">
        <v>6</v>
      </c>
      <c r="X54" s="3">
        <v>79</v>
      </c>
      <c r="Y54" s="3">
        <v>1</v>
      </c>
      <c r="Z54" s="3">
        <v>88</v>
      </c>
      <c r="AA54" s="3">
        <v>0</v>
      </c>
      <c r="AB54" s="3">
        <v>0</v>
      </c>
      <c r="AC54" s="3" t="s">
        <v>64</v>
      </c>
      <c r="AD54" s="6" t="s">
        <v>65</v>
      </c>
      <c r="AE54" s="3">
        <v>1063</v>
      </c>
      <c r="AF54" s="3">
        <v>2.5</v>
      </c>
      <c r="AG54" s="3">
        <v>205.27291666666699</v>
      </c>
      <c r="AH54" s="3">
        <v>25.036666666666701</v>
      </c>
      <c r="AI54" s="3">
        <v>36.2916666666667</v>
      </c>
      <c r="AJ54" s="3">
        <v>5.8814583333333301</v>
      </c>
      <c r="AK54" s="3">
        <v>25.6302083333333</v>
      </c>
      <c r="AL54" s="3">
        <v>32.321041666666702</v>
      </c>
      <c r="AM54" s="3">
        <v>2</v>
      </c>
      <c r="AN54" s="3">
        <v>3</v>
      </c>
      <c r="AO54" s="7">
        <v>0.25416666666666665</v>
      </c>
      <c r="AP54" s="7">
        <v>0.78333333333333333</v>
      </c>
      <c r="AQ54" s="7">
        <v>7.9166666666666663E-2</v>
      </c>
      <c r="AR54" s="7">
        <v>0.6118055555555556</v>
      </c>
      <c r="AS54" s="3" t="s">
        <v>59</v>
      </c>
      <c r="AT54" s="3">
        <v>26</v>
      </c>
      <c r="AU54" s="3">
        <v>1</v>
      </c>
      <c r="AV54" s="3">
        <v>0</v>
      </c>
      <c r="AW54" s="3" t="s">
        <v>66</v>
      </c>
      <c r="AX54" s="3">
        <v>21</v>
      </c>
    </row>
    <row r="55" spans="1:50" ht="12.5" x14ac:dyDescent="0.25">
      <c r="A55" s="3" t="s">
        <v>85</v>
      </c>
      <c r="B55" s="3" t="s">
        <v>86</v>
      </c>
      <c r="C55" s="3" t="s">
        <v>52</v>
      </c>
      <c r="D55" s="3">
        <v>9.9666999999999994</v>
      </c>
      <c r="E55" s="3">
        <v>76.2333</v>
      </c>
      <c r="F55" s="3" t="s">
        <v>53</v>
      </c>
      <c r="G55" s="3">
        <v>1750250888</v>
      </c>
      <c r="H55" s="4">
        <f t="shared" ca="1" si="0"/>
        <v>46118.952512962962</v>
      </c>
      <c r="I55" s="5">
        <f t="shared" ca="1" si="1"/>
        <v>46118.952512962962</v>
      </c>
      <c r="J55" s="3">
        <v>1750550400</v>
      </c>
      <c r="K55" s="3">
        <v>28.5</v>
      </c>
      <c r="L55" s="3">
        <v>83.3</v>
      </c>
      <c r="M55" s="3">
        <v>25</v>
      </c>
      <c r="N55" s="3">
        <v>77.099999999999994</v>
      </c>
      <c r="O55" s="3">
        <v>26.7</v>
      </c>
      <c r="P55" s="3">
        <v>80.099999999999994</v>
      </c>
      <c r="Q55" s="3">
        <v>10.5</v>
      </c>
      <c r="R55" s="3">
        <v>16.899999999999999</v>
      </c>
      <c r="S55" s="3">
        <v>7.17</v>
      </c>
      <c r="T55" s="3">
        <v>0.28000000000000003</v>
      </c>
      <c r="U55" s="3">
        <v>0</v>
      </c>
      <c r="V55" s="3">
        <v>9.5</v>
      </c>
      <c r="W55" s="3">
        <v>5</v>
      </c>
      <c r="X55" s="3">
        <v>78</v>
      </c>
      <c r="Y55" s="3">
        <v>1</v>
      </c>
      <c r="Z55" s="3">
        <v>89</v>
      </c>
      <c r="AA55" s="3">
        <v>0</v>
      </c>
      <c r="AB55" s="3">
        <v>0</v>
      </c>
      <c r="AC55" s="3" t="s">
        <v>61</v>
      </c>
      <c r="AD55" s="6" t="s">
        <v>62</v>
      </c>
      <c r="AE55" s="3">
        <v>1189</v>
      </c>
      <c r="AF55" s="3">
        <v>3.4</v>
      </c>
      <c r="AG55" s="3">
        <v>256.84166666666698</v>
      </c>
      <c r="AH55" s="3">
        <v>12.626250000000001</v>
      </c>
      <c r="AI55" s="3">
        <v>47.9166666666667</v>
      </c>
      <c r="AJ55" s="3">
        <v>4.1316666666666704</v>
      </c>
      <c r="AK55" s="3">
        <v>16.110416666666701</v>
      </c>
      <c r="AL55" s="3">
        <v>24.820833333333301</v>
      </c>
      <c r="AM55" s="3">
        <v>2</v>
      </c>
      <c r="AN55" s="3">
        <v>2</v>
      </c>
      <c r="AO55" s="7">
        <v>0.25416666666666665</v>
      </c>
      <c r="AP55" s="7">
        <v>0.78333333333333333</v>
      </c>
      <c r="AQ55" s="7">
        <v>0.11319444444444444</v>
      </c>
      <c r="AR55" s="7">
        <v>0.65347222222222223</v>
      </c>
      <c r="AS55" s="3" t="s">
        <v>59</v>
      </c>
      <c r="AT55" s="3">
        <v>16</v>
      </c>
      <c r="AU55" s="3">
        <v>1</v>
      </c>
      <c r="AV55" s="3">
        <v>0</v>
      </c>
      <c r="AW55" s="3" t="s">
        <v>69</v>
      </c>
      <c r="AX55" s="3">
        <v>22</v>
      </c>
    </row>
    <row r="56" spans="1:50" ht="12.5" x14ac:dyDescent="0.25">
      <c r="A56" s="3" t="s">
        <v>85</v>
      </c>
      <c r="B56" s="3" t="s">
        <v>86</v>
      </c>
      <c r="C56" s="3" t="s">
        <v>52</v>
      </c>
      <c r="D56" s="3">
        <v>9.9666999999999994</v>
      </c>
      <c r="E56" s="3">
        <v>76.2333</v>
      </c>
      <c r="F56" s="3" t="s">
        <v>53</v>
      </c>
      <c r="G56" s="3">
        <v>1750250888</v>
      </c>
      <c r="H56" s="4">
        <f t="shared" ca="1" si="0"/>
        <v>46118.952512962962</v>
      </c>
      <c r="I56" s="5">
        <f t="shared" ca="1" si="1"/>
        <v>46118.952512962962</v>
      </c>
      <c r="J56" s="3">
        <v>1750636800</v>
      </c>
      <c r="K56" s="3">
        <v>28.6</v>
      </c>
      <c r="L56" s="3">
        <v>83.5</v>
      </c>
      <c r="M56" s="3">
        <v>25.2</v>
      </c>
      <c r="N56" s="3">
        <v>77.3</v>
      </c>
      <c r="O56" s="3">
        <v>26.2</v>
      </c>
      <c r="P56" s="3">
        <v>79.2</v>
      </c>
      <c r="Q56" s="3">
        <v>7.6</v>
      </c>
      <c r="R56" s="3">
        <v>12.2</v>
      </c>
      <c r="S56" s="3">
        <v>5.78</v>
      </c>
      <c r="T56" s="3">
        <v>0.23</v>
      </c>
      <c r="U56" s="3">
        <v>0</v>
      </c>
      <c r="V56" s="3">
        <v>9.6999999999999993</v>
      </c>
      <c r="W56" s="3">
        <v>6</v>
      </c>
      <c r="X56" s="3">
        <v>81</v>
      </c>
      <c r="Y56" s="3">
        <v>1</v>
      </c>
      <c r="Z56" s="3">
        <v>89</v>
      </c>
      <c r="AA56" s="3">
        <v>0</v>
      </c>
      <c r="AB56" s="3">
        <v>0</v>
      </c>
      <c r="AC56" s="3" t="s">
        <v>61</v>
      </c>
      <c r="AD56" s="6" t="s">
        <v>62</v>
      </c>
      <c r="AE56" s="3">
        <v>1189</v>
      </c>
      <c r="AF56" s="3">
        <v>6</v>
      </c>
      <c r="AO56" s="7">
        <v>0.25416666666666665</v>
      </c>
      <c r="AP56" s="7">
        <v>0.78333333333333333</v>
      </c>
      <c r="AQ56" s="7">
        <v>0.15069444444444444</v>
      </c>
      <c r="AR56" s="7">
        <v>0.69791666666666663</v>
      </c>
      <c r="AS56" s="3" t="s">
        <v>59</v>
      </c>
      <c r="AT56" s="3">
        <v>9</v>
      </c>
      <c r="AU56" s="3">
        <v>1</v>
      </c>
      <c r="AV56" s="3">
        <v>0</v>
      </c>
      <c r="AW56" s="3" t="s">
        <v>70</v>
      </c>
      <c r="AX56" s="3">
        <v>23</v>
      </c>
    </row>
    <row r="57" spans="1:50" ht="12.5" x14ac:dyDescent="0.25">
      <c r="A57" s="3" t="s">
        <v>85</v>
      </c>
      <c r="B57" s="3" t="s">
        <v>86</v>
      </c>
      <c r="C57" s="3" t="s">
        <v>52</v>
      </c>
      <c r="D57" s="3">
        <v>9.9666999999999994</v>
      </c>
      <c r="E57" s="3">
        <v>76.2333</v>
      </c>
      <c r="F57" s="3" t="s">
        <v>53</v>
      </c>
      <c r="G57" s="3">
        <v>1750250888</v>
      </c>
      <c r="H57" s="4">
        <f t="shared" ca="1" si="0"/>
        <v>46118.952512962962</v>
      </c>
      <c r="I57" s="5">
        <f t="shared" ca="1" si="1"/>
        <v>46118.952512962962</v>
      </c>
      <c r="J57" s="3">
        <v>1750723200</v>
      </c>
      <c r="K57" s="3">
        <v>28.3</v>
      </c>
      <c r="L57" s="3">
        <v>82.9</v>
      </c>
      <c r="M57" s="3">
        <v>25.2</v>
      </c>
      <c r="N57" s="3">
        <v>77.400000000000006</v>
      </c>
      <c r="O57" s="3">
        <v>26.6</v>
      </c>
      <c r="P57" s="3">
        <v>79.900000000000006</v>
      </c>
      <c r="Q57" s="3">
        <v>10.7</v>
      </c>
      <c r="R57" s="3">
        <v>17.3</v>
      </c>
      <c r="S57" s="3">
        <v>3.43</v>
      </c>
      <c r="T57" s="3">
        <v>0.14000000000000001</v>
      </c>
      <c r="U57" s="3">
        <v>0</v>
      </c>
      <c r="V57" s="3">
        <v>9.4</v>
      </c>
      <c r="W57" s="3">
        <v>5</v>
      </c>
      <c r="X57" s="3">
        <v>81</v>
      </c>
      <c r="Y57" s="3">
        <v>1</v>
      </c>
      <c r="Z57" s="3">
        <v>89</v>
      </c>
      <c r="AA57" s="3">
        <v>0</v>
      </c>
      <c r="AB57" s="3">
        <v>0</v>
      </c>
      <c r="AC57" s="3" t="s">
        <v>64</v>
      </c>
      <c r="AD57" s="6" t="s">
        <v>65</v>
      </c>
      <c r="AE57" s="3">
        <v>1063</v>
      </c>
      <c r="AF57" s="3">
        <v>6</v>
      </c>
      <c r="AO57" s="7">
        <v>0.25416666666666665</v>
      </c>
      <c r="AP57" s="7">
        <v>0.78402777777777777</v>
      </c>
      <c r="AQ57" s="7">
        <v>0.19166666666666668</v>
      </c>
      <c r="AR57" s="7">
        <v>0.74444444444444446</v>
      </c>
      <c r="AS57" s="3" t="s">
        <v>59</v>
      </c>
      <c r="AT57" s="3">
        <v>3</v>
      </c>
      <c r="AU57" s="3">
        <v>1</v>
      </c>
      <c r="AV57" s="3">
        <v>0</v>
      </c>
      <c r="AW57" s="3" t="s">
        <v>71</v>
      </c>
      <c r="AX57" s="3">
        <v>24</v>
      </c>
    </row>
    <row r="58" spans="1:50" ht="12.5" x14ac:dyDescent="0.25">
      <c r="A58" s="3" t="s">
        <v>87</v>
      </c>
      <c r="B58" s="3" t="s">
        <v>84</v>
      </c>
      <c r="C58" s="3" t="s">
        <v>52</v>
      </c>
      <c r="D58" s="3">
        <v>18.533300000000001</v>
      </c>
      <c r="E58" s="3">
        <v>73.866699999999994</v>
      </c>
      <c r="F58" s="3" t="s">
        <v>53</v>
      </c>
      <c r="G58" s="3">
        <v>1750251036</v>
      </c>
      <c r="H58" s="4">
        <f t="shared" ca="1" si="0"/>
        <v>46118.952512962962</v>
      </c>
      <c r="I58" s="5">
        <f t="shared" ca="1" si="1"/>
        <v>46118.952512962962</v>
      </c>
      <c r="J58" s="3">
        <v>1750204800</v>
      </c>
      <c r="K58" s="3">
        <v>26.9</v>
      </c>
      <c r="L58" s="3">
        <v>80.400000000000006</v>
      </c>
      <c r="M58" s="3">
        <v>22.6</v>
      </c>
      <c r="N58" s="3">
        <v>72.599999999999994</v>
      </c>
      <c r="O58" s="3">
        <v>24.2</v>
      </c>
      <c r="P58" s="3">
        <v>75.599999999999994</v>
      </c>
      <c r="Q58" s="3">
        <v>21</v>
      </c>
      <c r="R58" s="3">
        <v>33.799999999999997</v>
      </c>
      <c r="S58" s="3">
        <v>2.75</v>
      </c>
      <c r="T58" s="3">
        <v>0.11</v>
      </c>
      <c r="U58" s="3">
        <v>0</v>
      </c>
      <c r="V58" s="3">
        <v>9.3000000000000007</v>
      </c>
      <c r="W58" s="3">
        <v>5</v>
      </c>
      <c r="X58" s="3">
        <v>85</v>
      </c>
      <c r="Y58" s="3">
        <v>1</v>
      </c>
      <c r="Z58" s="3">
        <v>89</v>
      </c>
      <c r="AA58" s="3">
        <v>0</v>
      </c>
      <c r="AB58" s="3">
        <v>0</v>
      </c>
      <c r="AC58" s="3" t="s">
        <v>64</v>
      </c>
      <c r="AD58" s="6" t="s">
        <v>65</v>
      </c>
      <c r="AE58" s="3">
        <v>1063</v>
      </c>
      <c r="AF58" s="3">
        <v>1.9</v>
      </c>
      <c r="AG58" s="3">
        <v>292.60833333333301</v>
      </c>
      <c r="AH58" s="3">
        <v>9.2962500000000006</v>
      </c>
      <c r="AI58" s="3">
        <v>52.6666666666667</v>
      </c>
      <c r="AJ58" s="3">
        <v>6.1281249999999998</v>
      </c>
      <c r="AK58" s="3">
        <v>6.0202083333333301</v>
      </c>
      <c r="AL58" s="3">
        <v>8.9108333333333292</v>
      </c>
      <c r="AM58" s="3">
        <v>1</v>
      </c>
      <c r="AN58" s="3">
        <v>1</v>
      </c>
      <c r="AO58" s="7">
        <v>0.24861111111111112</v>
      </c>
      <c r="AP58" s="7">
        <v>0.80069444444444449</v>
      </c>
      <c r="AQ58" s="7">
        <v>0</v>
      </c>
      <c r="AR58" s="7">
        <v>0.50486111111111109</v>
      </c>
      <c r="AS58" s="3" t="s">
        <v>57</v>
      </c>
      <c r="AT58" s="3">
        <v>59</v>
      </c>
      <c r="AU58" s="3">
        <v>0</v>
      </c>
      <c r="AV58" s="3">
        <v>0</v>
      </c>
      <c r="AW58" s="3" t="s">
        <v>58</v>
      </c>
      <c r="AX58" s="3">
        <v>18</v>
      </c>
    </row>
    <row r="59" spans="1:50" ht="12.5" x14ac:dyDescent="0.25">
      <c r="A59" s="3" t="s">
        <v>87</v>
      </c>
      <c r="B59" s="3" t="s">
        <v>84</v>
      </c>
      <c r="C59" s="3" t="s">
        <v>52</v>
      </c>
      <c r="D59" s="3">
        <v>18.533300000000001</v>
      </c>
      <c r="E59" s="3">
        <v>73.866699999999994</v>
      </c>
      <c r="F59" s="3" t="s">
        <v>53</v>
      </c>
      <c r="G59" s="3">
        <v>1750251036</v>
      </c>
      <c r="H59" s="4">
        <f t="shared" ca="1" si="0"/>
        <v>46118.952512962962</v>
      </c>
      <c r="I59" s="5">
        <f t="shared" ca="1" si="1"/>
        <v>46118.952512962962</v>
      </c>
      <c r="J59" s="3">
        <v>1750291200</v>
      </c>
      <c r="K59" s="3">
        <v>23.2</v>
      </c>
      <c r="L59" s="3">
        <v>73.8</v>
      </c>
      <c r="M59" s="3">
        <v>21.7</v>
      </c>
      <c r="N59" s="3">
        <v>71.099999999999994</v>
      </c>
      <c r="O59" s="3">
        <v>22.5</v>
      </c>
      <c r="P59" s="3">
        <v>72.5</v>
      </c>
      <c r="Q59" s="3">
        <v>16.600000000000001</v>
      </c>
      <c r="R59" s="3">
        <v>26.6</v>
      </c>
      <c r="S59" s="3">
        <v>25.53</v>
      </c>
      <c r="T59" s="3">
        <v>1.01</v>
      </c>
      <c r="U59" s="3">
        <v>0</v>
      </c>
      <c r="V59" s="3">
        <v>8.5</v>
      </c>
      <c r="W59" s="3">
        <v>5</v>
      </c>
      <c r="X59" s="3">
        <v>90</v>
      </c>
      <c r="Y59" s="3">
        <v>1</v>
      </c>
      <c r="Z59" s="3">
        <v>90</v>
      </c>
      <c r="AA59" s="3">
        <v>0</v>
      </c>
      <c r="AB59" s="3">
        <v>0</v>
      </c>
      <c r="AC59" s="3" t="s">
        <v>54</v>
      </c>
      <c r="AD59" s="6" t="s">
        <v>55</v>
      </c>
      <c r="AE59" s="3">
        <v>1195</v>
      </c>
      <c r="AF59" s="3">
        <v>0.6</v>
      </c>
      <c r="AG59" s="3">
        <v>323.28750000000002</v>
      </c>
      <c r="AH59" s="3">
        <v>10.545</v>
      </c>
      <c r="AI59" s="3">
        <v>56.5</v>
      </c>
      <c r="AJ59" s="3">
        <v>7.1841666666666697</v>
      </c>
      <c r="AK59" s="3">
        <v>6.1435416666666702</v>
      </c>
      <c r="AL59" s="3">
        <v>8.0243749999999991</v>
      </c>
      <c r="AM59" s="3">
        <v>1</v>
      </c>
      <c r="AN59" s="3">
        <v>1</v>
      </c>
      <c r="AO59" s="7">
        <v>0.24930555555555556</v>
      </c>
      <c r="AP59" s="7">
        <v>0.80069444444444449</v>
      </c>
      <c r="AQ59" s="7">
        <v>2.5694444444444443E-2</v>
      </c>
      <c r="AR59" s="7">
        <v>0.54374999999999996</v>
      </c>
      <c r="AS59" s="3" t="s">
        <v>59</v>
      </c>
      <c r="AT59" s="3">
        <v>48</v>
      </c>
      <c r="AU59" s="3">
        <v>1</v>
      </c>
      <c r="AV59" s="3">
        <v>0</v>
      </c>
      <c r="AW59" s="3" t="s">
        <v>60</v>
      </c>
      <c r="AX59" s="3">
        <v>19</v>
      </c>
    </row>
    <row r="60" spans="1:50" ht="12.5" x14ac:dyDescent="0.25">
      <c r="A60" s="3" t="s">
        <v>87</v>
      </c>
      <c r="B60" s="3" t="s">
        <v>84</v>
      </c>
      <c r="C60" s="3" t="s">
        <v>52</v>
      </c>
      <c r="D60" s="3">
        <v>18.533300000000001</v>
      </c>
      <c r="E60" s="3">
        <v>73.866699999999994</v>
      </c>
      <c r="F60" s="3" t="s">
        <v>53</v>
      </c>
      <c r="G60" s="3">
        <v>1750251036</v>
      </c>
      <c r="H60" s="4">
        <f t="shared" ca="1" si="0"/>
        <v>46118.952512962962</v>
      </c>
      <c r="I60" s="5">
        <f t="shared" ca="1" si="1"/>
        <v>46118.952512962962</v>
      </c>
      <c r="J60" s="3">
        <v>1750377600</v>
      </c>
      <c r="K60" s="3">
        <v>24.9</v>
      </c>
      <c r="L60" s="3">
        <v>76.8</v>
      </c>
      <c r="M60" s="3">
        <v>21.8</v>
      </c>
      <c r="N60" s="3">
        <v>71.2</v>
      </c>
      <c r="O60" s="3">
        <v>23.1</v>
      </c>
      <c r="P60" s="3">
        <v>73.5</v>
      </c>
      <c r="Q60" s="3">
        <v>14.8</v>
      </c>
      <c r="R60" s="3">
        <v>23.8</v>
      </c>
      <c r="S60" s="3">
        <v>0.38</v>
      </c>
      <c r="T60" s="3">
        <v>0.01</v>
      </c>
      <c r="U60" s="3">
        <v>0</v>
      </c>
      <c r="V60" s="3">
        <v>9.6999999999999993</v>
      </c>
      <c r="W60" s="3">
        <v>6</v>
      </c>
      <c r="X60" s="3">
        <v>89</v>
      </c>
      <c r="Y60" s="3">
        <v>1</v>
      </c>
      <c r="Z60" s="3">
        <v>89</v>
      </c>
      <c r="AA60" s="3">
        <v>0</v>
      </c>
      <c r="AB60" s="3">
        <v>0</v>
      </c>
      <c r="AC60" s="3" t="s">
        <v>64</v>
      </c>
      <c r="AD60" s="6" t="s">
        <v>65</v>
      </c>
      <c r="AE60" s="3">
        <v>1063</v>
      </c>
      <c r="AF60" s="3">
        <v>0.4</v>
      </c>
      <c r="AG60" s="3">
        <v>284.745833333333</v>
      </c>
      <c r="AH60" s="3">
        <v>10.2752083333333</v>
      </c>
      <c r="AI60" s="3">
        <v>53</v>
      </c>
      <c r="AJ60" s="3">
        <v>6.6445833333333297</v>
      </c>
      <c r="AK60" s="3">
        <v>7.6852083333333301</v>
      </c>
      <c r="AL60" s="3">
        <v>11.577916666666701</v>
      </c>
      <c r="AM60" s="3">
        <v>1</v>
      </c>
      <c r="AN60" s="3">
        <v>1</v>
      </c>
      <c r="AO60" s="7">
        <v>0.24930555555555556</v>
      </c>
      <c r="AP60" s="7">
        <v>0.80138888888888893</v>
      </c>
      <c r="AQ60" s="7">
        <v>5.2083333333333336E-2</v>
      </c>
      <c r="AR60" s="7">
        <v>0.58402777777777781</v>
      </c>
      <c r="AS60" s="3" t="s">
        <v>59</v>
      </c>
      <c r="AT60" s="3">
        <v>37</v>
      </c>
      <c r="AU60" s="3">
        <v>1</v>
      </c>
      <c r="AV60" s="3">
        <v>0</v>
      </c>
      <c r="AW60" s="3" t="s">
        <v>63</v>
      </c>
      <c r="AX60" s="3">
        <v>20</v>
      </c>
    </row>
    <row r="61" spans="1:50" ht="12.5" x14ac:dyDescent="0.25">
      <c r="A61" s="3" t="s">
        <v>87</v>
      </c>
      <c r="B61" s="3" t="s">
        <v>84</v>
      </c>
      <c r="C61" s="3" t="s">
        <v>52</v>
      </c>
      <c r="D61" s="3">
        <v>18.533300000000001</v>
      </c>
      <c r="E61" s="3">
        <v>73.866699999999994</v>
      </c>
      <c r="F61" s="3" t="s">
        <v>53</v>
      </c>
      <c r="G61" s="3">
        <v>1750251036</v>
      </c>
      <c r="H61" s="4">
        <f t="shared" ca="1" si="0"/>
        <v>46118.952512962962</v>
      </c>
      <c r="I61" s="5">
        <f t="shared" ca="1" si="1"/>
        <v>46118.952512962962</v>
      </c>
      <c r="J61" s="3">
        <v>1750464000</v>
      </c>
      <c r="K61" s="3">
        <v>27.9</v>
      </c>
      <c r="L61" s="3">
        <v>82.2</v>
      </c>
      <c r="M61" s="3">
        <v>22.7</v>
      </c>
      <c r="N61" s="3">
        <v>72.8</v>
      </c>
      <c r="O61" s="3">
        <v>24.7</v>
      </c>
      <c r="P61" s="3">
        <v>76.400000000000006</v>
      </c>
      <c r="Q61" s="3">
        <v>17.399999999999999</v>
      </c>
      <c r="R61" s="3">
        <v>28.1</v>
      </c>
      <c r="S61" s="3">
        <v>0.8</v>
      </c>
      <c r="T61" s="3">
        <v>0.03</v>
      </c>
      <c r="U61" s="3">
        <v>0</v>
      </c>
      <c r="V61" s="3">
        <v>10</v>
      </c>
      <c r="W61" s="3">
        <v>6</v>
      </c>
      <c r="X61" s="3">
        <v>80</v>
      </c>
      <c r="Y61" s="3">
        <v>1</v>
      </c>
      <c r="Z61" s="3">
        <v>88</v>
      </c>
      <c r="AA61" s="3">
        <v>0</v>
      </c>
      <c r="AB61" s="3">
        <v>0</v>
      </c>
      <c r="AC61" s="3" t="s">
        <v>64</v>
      </c>
      <c r="AD61" s="6" t="s">
        <v>65</v>
      </c>
      <c r="AE61" s="3">
        <v>1063</v>
      </c>
      <c r="AF61" s="3">
        <v>2.9</v>
      </c>
      <c r="AG61" s="3">
        <v>267.402083333333</v>
      </c>
      <c r="AH61" s="3">
        <v>10.922708333333301</v>
      </c>
      <c r="AI61" s="3">
        <v>51.0833333333333</v>
      </c>
      <c r="AJ61" s="3">
        <v>7.4847916666666698</v>
      </c>
      <c r="AK61" s="3">
        <v>12.094374999999999</v>
      </c>
      <c r="AL61" s="3">
        <v>20.9435416666667</v>
      </c>
      <c r="AM61" s="3">
        <v>1</v>
      </c>
      <c r="AN61" s="3">
        <v>2</v>
      </c>
      <c r="AO61" s="7">
        <v>0.24930555555555556</v>
      </c>
      <c r="AP61" s="7">
        <v>0.80138888888888893</v>
      </c>
      <c r="AQ61" s="7">
        <v>7.9861111111111105E-2</v>
      </c>
      <c r="AR61" s="7">
        <v>0.62638888888888888</v>
      </c>
      <c r="AS61" s="3" t="s">
        <v>59</v>
      </c>
      <c r="AT61" s="3">
        <v>26</v>
      </c>
      <c r="AU61" s="3">
        <v>1</v>
      </c>
      <c r="AV61" s="3">
        <v>0</v>
      </c>
      <c r="AW61" s="3" t="s">
        <v>66</v>
      </c>
      <c r="AX61" s="3">
        <v>21</v>
      </c>
    </row>
    <row r="62" spans="1:50" ht="12.5" x14ac:dyDescent="0.25">
      <c r="A62" s="3" t="s">
        <v>87</v>
      </c>
      <c r="B62" s="3" t="s">
        <v>84</v>
      </c>
      <c r="C62" s="3" t="s">
        <v>52</v>
      </c>
      <c r="D62" s="3">
        <v>18.533300000000001</v>
      </c>
      <c r="E62" s="3">
        <v>73.866699999999994</v>
      </c>
      <c r="F62" s="3" t="s">
        <v>53</v>
      </c>
      <c r="G62" s="3">
        <v>1750251036</v>
      </c>
      <c r="H62" s="4">
        <f t="shared" ca="1" si="0"/>
        <v>46118.952512962962</v>
      </c>
      <c r="I62" s="5">
        <f t="shared" ca="1" si="1"/>
        <v>46118.952512962962</v>
      </c>
      <c r="J62" s="3">
        <v>1750550400</v>
      </c>
      <c r="K62" s="3">
        <v>27.1</v>
      </c>
      <c r="L62" s="3">
        <v>80.8</v>
      </c>
      <c r="M62" s="3">
        <v>22.2</v>
      </c>
      <c r="N62" s="3">
        <v>71.900000000000006</v>
      </c>
      <c r="O62" s="3">
        <v>24.2</v>
      </c>
      <c r="P62" s="3">
        <v>75.5</v>
      </c>
      <c r="Q62" s="3">
        <v>16.8</v>
      </c>
      <c r="R62" s="3">
        <v>27</v>
      </c>
      <c r="S62" s="3">
        <v>0.78</v>
      </c>
      <c r="T62" s="3">
        <v>0.03</v>
      </c>
      <c r="U62" s="3">
        <v>0</v>
      </c>
      <c r="V62" s="3">
        <v>10</v>
      </c>
      <c r="W62" s="3">
        <v>6</v>
      </c>
      <c r="X62" s="3">
        <v>80</v>
      </c>
      <c r="Y62" s="3">
        <v>1</v>
      </c>
      <c r="Z62" s="3">
        <v>89</v>
      </c>
      <c r="AA62" s="3">
        <v>0</v>
      </c>
      <c r="AB62" s="3">
        <v>0</v>
      </c>
      <c r="AC62" s="3" t="s">
        <v>64</v>
      </c>
      <c r="AD62" s="6" t="s">
        <v>65</v>
      </c>
      <c r="AE62" s="3">
        <v>1063</v>
      </c>
      <c r="AF62" s="3">
        <v>2.7</v>
      </c>
      <c r="AG62" s="3">
        <v>229.86250000000001</v>
      </c>
      <c r="AH62" s="3">
        <v>5.9970833333333298</v>
      </c>
      <c r="AI62" s="3">
        <v>59.9166666666667</v>
      </c>
      <c r="AJ62" s="3">
        <v>6.3054166666666696</v>
      </c>
      <c r="AK62" s="3">
        <v>14.8616666666667</v>
      </c>
      <c r="AL62" s="3">
        <v>36.075000000000003</v>
      </c>
      <c r="AM62" s="3">
        <v>1</v>
      </c>
      <c r="AN62" s="3">
        <v>2</v>
      </c>
      <c r="AO62" s="7">
        <v>0.24930555555555556</v>
      </c>
      <c r="AP62" s="7">
        <v>0.80138888888888893</v>
      </c>
      <c r="AQ62" s="7">
        <v>0.11041666666666666</v>
      </c>
      <c r="AR62" s="7">
        <v>0.67083333333333328</v>
      </c>
      <c r="AS62" s="3" t="s">
        <v>59</v>
      </c>
      <c r="AT62" s="3">
        <v>16</v>
      </c>
      <c r="AU62" s="3">
        <v>1</v>
      </c>
      <c r="AV62" s="3">
        <v>0</v>
      </c>
      <c r="AW62" s="3" t="s">
        <v>69</v>
      </c>
      <c r="AX62" s="3">
        <v>22</v>
      </c>
    </row>
    <row r="63" spans="1:50" ht="12.5" x14ac:dyDescent="0.25">
      <c r="A63" s="3" t="s">
        <v>87</v>
      </c>
      <c r="B63" s="3" t="s">
        <v>84</v>
      </c>
      <c r="C63" s="3" t="s">
        <v>52</v>
      </c>
      <c r="D63" s="3">
        <v>18.533300000000001</v>
      </c>
      <c r="E63" s="3">
        <v>73.866699999999994</v>
      </c>
      <c r="F63" s="3" t="s">
        <v>53</v>
      </c>
      <c r="G63" s="3">
        <v>1750251036</v>
      </c>
      <c r="H63" s="4">
        <f t="shared" ca="1" si="0"/>
        <v>46118.952512962962</v>
      </c>
      <c r="I63" s="5">
        <f t="shared" ca="1" si="1"/>
        <v>46118.952512962962</v>
      </c>
      <c r="J63" s="3">
        <v>1750636800</v>
      </c>
      <c r="K63" s="3">
        <v>25.9</v>
      </c>
      <c r="L63" s="3">
        <v>78.599999999999994</v>
      </c>
      <c r="M63" s="3">
        <v>22.4</v>
      </c>
      <c r="N63" s="3">
        <v>72.2</v>
      </c>
      <c r="O63" s="3">
        <v>23.3</v>
      </c>
      <c r="P63" s="3">
        <v>73.900000000000006</v>
      </c>
      <c r="Q63" s="3">
        <v>17.2</v>
      </c>
      <c r="R63" s="3">
        <v>27.7</v>
      </c>
      <c r="S63" s="3">
        <v>0.31</v>
      </c>
      <c r="T63" s="3">
        <v>0.01</v>
      </c>
      <c r="U63" s="3">
        <v>0</v>
      </c>
      <c r="V63" s="3">
        <v>10</v>
      </c>
      <c r="W63" s="3">
        <v>6</v>
      </c>
      <c r="X63" s="3">
        <v>83</v>
      </c>
      <c r="Y63" s="3">
        <v>1</v>
      </c>
      <c r="Z63" s="3">
        <v>87</v>
      </c>
      <c r="AA63" s="3">
        <v>0</v>
      </c>
      <c r="AB63" s="3">
        <v>0</v>
      </c>
      <c r="AC63" s="3" t="s">
        <v>64</v>
      </c>
      <c r="AD63" s="6" t="s">
        <v>65</v>
      </c>
      <c r="AE63" s="3">
        <v>1063</v>
      </c>
      <c r="AF63" s="3">
        <v>5</v>
      </c>
      <c r="AO63" s="7">
        <v>0.24930555555555556</v>
      </c>
      <c r="AP63" s="7">
        <v>0.80138888888888893</v>
      </c>
      <c r="AQ63" s="7">
        <v>0.14583333333333334</v>
      </c>
      <c r="AR63" s="7">
        <v>0.71805555555555556</v>
      </c>
      <c r="AS63" s="3" t="s">
        <v>59</v>
      </c>
      <c r="AT63" s="3">
        <v>9</v>
      </c>
      <c r="AU63" s="3">
        <v>1</v>
      </c>
      <c r="AV63" s="3">
        <v>0</v>
      </c>
      <c r="AW63" s="3" t="s">
        <v>70</v>
      </c>
      <c r="AX63" s="3">
        <v>23</v>
      </c>
    </row>
    <row r="64" spans="1:50" ht="12.5" x14ac:dyDescent="0.25">
      <c r="A64" s="3" t="s">
        <v>87</v>
      </c>
      <c r="B64" s="3" t="s">
        <v>84</v>
      </c>
      <c r="C64" s="3" t="s">
        <v>52</v>
      </c>
      <c r="D64" s="3">
        <v>18.533300000000001</v>
      </c>
      <c r="E64" s="3">
        <v>73.866699999999994</v>
      </c>
      <c r="F64" s="3" t="s">
        <v>53</v>
      </c>
      <c r="G64" s="3">
        <v>1750251036</v>
      </c>
      <c r="H64" s="4">
        <f t="shared" ca="1" si="0"/>
        <v>46118.952512962962</v>
      </c>
      <c r="I64" s="5">
        <f t="shared" ca="1" si="1"/>
        <v>46118.952512962962</v>
      </c>
      <c r="J64" s="3">
        <v>1750723200</v>
      </c>
      <c r="K64" s="3">
        <v>25.7</v>
      </c>
      <c r="L64" s="3">
        <v>78.3</v>
      </c>
      <c r="M64" s="3">
        <v>22.3</v>
      </c>
      <c r="N64" s="3">
        <v>72.2</v>
      </c>
      <c r="O64" s="3">
        <v>23.8</v>
      </c>
      <c r="P64" s="3">
        <v>74.8</v>
      </c>
      <c r="Q64" s="3">
        <v>19</v>
      </c>
      <c r="R64" s="3">
        <v>30.6</v>
      </c>
      <c r="S64" s="3">
        <v>1.03</v>
      </c>
      <c r="T64" s="3">
        <v>0.04</v>
      </c>
      <c r="U64" s="3">
        <v>0</v>
      </c>
      <c r="V64" s="3">
        <v>10</v>
      </c>
      <c r="W64" s="3">
        <v>6</v>
      </c>
      <c r="X64" s="3">
        <v>84</v>
      </c>
      <c r="Y64" s="3">
        <v>1</v>
      </c>
      <c r="Z64" s="3">
        <v>89</v>
      </c>
      <c r="AA64" s="3">
        <v>0</v>
      </c>
      <c r="AB64" s="3">
        <v>0</v>
      </c>
      <c r="AC64" s="3" t="s">
        <v>64</v>
      </c>
      <c r="AD64" s="6" t="s">
        <v>65</v>
      </c>
      <c r="AE64" s="3">
        <v>1063</v>
      </c>
      <c r="AF64" s="3">
        <v>5</v>
      </c>
      <c r="AO64" s="7">
        <v>0.25</v>
      </c>
      <c r="AP64" s="7">
        <v>0.80208333333333337</v>
      </c>
      <c r="AQ64" s="7">
        <v>0.18472222222222223</v>
      </c>
      <c r="AR64" s="7">
        <v>0.76527777777777772</v>
      </c>
      <c r="AS64" s="3" t="s">
        <v>59</v>
      </c>
      <c r="AT64" s="3">
        <v>3</v>
      </c>
      <c r="AU64" s="3">
        <v>1</v>
      </c>
      <c r="AV64" s="3">
        <v>0</v>
      </c>
      <c r="AW64" s="3" t="s">
        <v>71</v>
      </c>
      <c r="AX64" s="3">
        <v>24</v>
      </c>
    </row>
    <row r="65" spans="1:50" ht="12.5" x14ac:dyDescent="0.25">
      <c r="A65" s="3" t="s">
        <v>88</v>
      </c>
      <c r="B65" s="3" t="s">
        <v>89</v>
      </c>
      <c r="C65" s="3" t="s">
        <v>52</v>
      </c>
      <c r="D65" s="3">
        <v>13.083299999999999</v>
      </c>
      <c r="E65" s="3">
        <v>80.283299999999997</v>
      </c>
      <c r="F65" s="3" t="s">
        <v>53</v>
      </c>
      <c r="G65" s="3">
        <v>1750250620</v>
      </c>
      <c r="H65" s="4">
        <f t="shared" ca="1" si="0"/>
        <v>46118.952512962962</v>
      </c>
      <c r="I65" s="5">
        <f t="shared" ca="1" si="1"/>
        <v>46118.952512962962</v>
      </c>
      <c r="J65" s="3">
        <v>1750204800</v>
      </c>
      <c r="K65" s="3">
        <v>34.4</v>
      </c>
      <c r="L65" s="3">
        <v>94</v>
      </c>
      <c r="M65" s="3">
        <v>29.4</v>
      </c>
      <c r="N65" s="3">
        <v>84.9</v>
      </c>
      <c r="O65" s="3">
        <v>31.5</v>
      </c>
      <c r="P65" s="3">
        <v>88.7</v>
      </c>
      <c r="Q65" s="3">
        <v>18.600000000000001</v>
      </c>
      <c r="R65" s="3">
        <v>29.9</v>
      </c>
      <c r="S65" s="3">
        <v>0.25</v>
      </c>
      <c r="T65" s="3">
        <v>0.01</v>
      </c>
      <c r="U65" s="3">
        <v>0</v>
      </c>
      <c r="V65" s="3">
        <v>9.9</v>
      </c>
      <c r="W65" s="3">
        <v>6</v>
      </c>
      <c r="X65" s="3">
        <v>59</v>
      </c>
      <c r="Y65" s="3">
        <v>1</v>
      </c>
      <c r="Z65" s="3">
        <v>89</v>
      </c>
      <c r="AA65" s="3">
        <v>0</v>
      </c>
      <c r="AB65" s="3">
        <v>0</v>
      </c>
      <c r="AC65" s="3" t="s">
        <v>64</v>
      </c>
      <c r="AD65" s="6" t="s">
        <v>65</v>
      </c>
      <c r="AE65" s="3">
        <v>1063</v>
      </c>
      <c r="AF65" s="3">
        <v>2.4</v>
      </c>
      <c r="AG65" s="3">
        <v>437.29374999999999</v>
      </c>
      <c r="AH65" s="3">
        <v>20.604375000000001</v>
      </c>
      <c r="AI65" s="3">
        <v>80.3333333333333</v>
      </c>
      <c r="AJ65" s="3">
        <v>14.06</v>
      </c>
      <c r="AK65" s="3">
        <v>24.736041666666701</v>
      </c>
      <c r="AL65" s="3">
        <v>34.456249999999997</v>
      </c>
      <c r="AM65" s="3">
        <v>2</v>
      </c>
      <c r="AN65" s="3">
        <v>3</v>
      </c>
      <c r="AO65" s="7">
        <v>0.23819444444444443</v>
      </c>
      <c r="AP65" s="7">
        <v>0.77569444444444446</v>
      </c>
      <c r="AQ65" s="3" t="s">
        <v>56</v>
      </c>
      <c r="AR65" s="7">
        <v>0.48749999999999999</v>
      </c>
      <c r="AS65" s="3" t="s">
        <v>57</v>
      </c>
      <c r="AT65" s="3">
        <v>59</v>
      </c>
      <c r="AU65" s="3">
        <v>1</v>
      </c>
      <c r="AV65" s="3">
        <v>0</v>
      </c>
      <c r="AW65" s="3" t="s">
        <v>58</v>
      </c>
      <c r="AX65" s="3">
        <v>18</v>
      </c>
    </row>
    <row r="66" spans="1:50" ht="12.5" x14ac:dyDescent="0.25">
      <c r="A66" s="3" t="s">
        <v>88</v>
      </c>
      <c r="B66" s="3" t="s">
        <v>89</v>
      </c>
      <c r="C66" s="3" t="s">
        <v>52</v>
      </c>
      <c r="D66" s="3">
        <v>13.083299999999999</v>
      </c>
      <c r="E66" s="3">
        <v>80.283299999999997</v>
      </c>
      <c r="F66" s="3" t="s">
        <v>53</v>
      </c>
      <c r="G66" s="3">
        <v>1750250620</v>
      </c>
      <c r="H66" s="4">
        <f t="shared" ca="1" si="0"/>
        <v>46118.952512962962</v>
      </c>
      <c r="I66" s="5">
        <f t="shared" ca="1" si="1"/>
        <v>46118.952512962962</v>
      </c>
      <c r="J66" s="3">
        <v>1750291200</v>
      </c>
      <c r="K66" s="3">
        <v>35.299999999999997</v>
      </c>
      <c r="L66" s="3">
        <v>95.6</v>
      </c>
      <c r="M66" s="3">
        <v>29.8</v>
      </c>
      <c r="N66" s="3">
        <v>85.6</v>
      </c>
      <c r="O66" s="3">
        <v>31.9</v>
      </c>
      <c r="P66" s="3">
        <v>89.4</v>
      </c>
      <c r="Q66" s="3">
        <v>18.100000000000001</v>
      </c>
      <c r="R66" s="3">
        <v>29.2</v>
      </c>
      <c r="S66" s="3">
        <v>0.55000000000000004</v>
      </c>
      <c r="T66" s="3">
        <v>0.02</v>
      </c>
      <c r="U66" s="3">
        <v>0</v>
      </c>
      <c r="V66" s="3">
        <v>9.9</v>
      </c>
      <c r="W66" s="3">
        <v>6</v>
      </c>
      <c r="X66" s="3">
        <v>57</v>
      </c>
      <c r="Y66" s="3">
        <v>1</v>
      </c>
      <c r="Z66" s="3">
        <v>88</v>
      </c>
      <c r="AA66" s="3">
        <v>0</v>
      </c>
      <c r="AB66" s="3">
        <v>0</v>
      </c>
      <c r="AC66" s="3" t="s">
        <v>64</v>
      </c>
      <c r="AD66" s="6" t="s">
        <v>65</v>
      </c>
      <c r="AE66" s="3">
        <v>1063</v>
      </c>
      <c r="AF66" s="3">
        <v>2.5</v>
      </c>
      <c r="AG66" s="3">
        <v>450.78333333333302</v>
      </c>
      <c r="AH66" s="3">
        <v>21.8222916666667</v>
      </c>
      <c r="AI66" s="3">
        <v>72.4166666666667</v>
      </c>
      <c r="AJ66" s="3">
        <v>14.6458333333333</v>
      </c>
      <c r="AK66" s="3">
        <v>25.8229166666667</v>
      </c>
      <c r="AL66" s="3">
        <v>35.227083333333297</v>
      </c>
      <c r="AM66" s="3">
        <v>2</v>
      </c>
      <c r="AN66" s="3">
        <v>3</v>
      </c>
      <c r="AO66" s="7">
        <v>0.2388888888888889</v>
      </c>
      <c r="AP66" s="7">
        <v>0.77569444444444446</v>
      </c>
      <c r="AQ66" s="7">
        <v>7.6388888888888886E-3</v>
      </c>
      <c r="AR66" s="7">
        <v>0.52430555555555558</v>
      </c>
      <c r="AS66" s="3" t="s">
        <v>59</v>
      </c>
      <c r="AT66" s="3">
        <v>48</v>
      </c>
      <c r="AU66" s="3">
        <v>1</v>
      </c>
      <c r="AV66" s="3">
        <v>0</v>
      </c>
      <c r="AW66" s="3" t="s">
        <v>60</v>
      </c>
      <c r="AX66" s="3">
        <v>19</v>
      </c>
    </row>
    <row r="67" spans="1:50" ht="12.5" x14ac:dyDescent="0.25">
      <c r="A67" s="3" t="s">
        <v>88</v>
      </c>
      <c r="B67" s="3" t="s">
        <v>89</v>
      </c>
      <c r="C67" s="3" t="s">
        <v>52</v>
      </c>
      <c r="D67" s="3">
        <v>13.083299999999999</v>
      </c>
      <c r="E67" s="3">
        <v>80.283299999999997</v>
      </c>
      <c r="F67" s="3" t="s">
        <v>53</v>
      </c>
      <c r="G67" s="3">
        <v>1750250620</v>
      </c>
      <c r="H67" s="4">
        <f t="shared" ca="1" si="0"/>
        <v>46118.952512962962</v>
      </c>
      <c r="I67" s="5">
        <f t="shared" ca="1" si="1"/>
        <v>46118.952512962962</v>
      </c>
      <c r="J67" s="3">
        <v>1750377600</v>
      </c>
      <c r="K67" s="3">
        <v>35.700000000000003</v>
      </c>
      <c r="L67" s="3">
        <v>96.2</v>
      </c>
      <c r="M67" s="3">
        <v>29.7</v>
      </c>
      <c r="N67" s="3">
        <v>85.5</v>
      </c>
      <c r="O67" s="3">
        <v>32</v>
      </c>
      <c r="P67" s="3">
        <v>89.5</v>
      </c>
      <c r="Q67" s="3">
        <v>18.600000000000001</v>
      </c>
      <c r="R67" s="3">
        <v>29.9</v>
      </c>
      <c r="S67" s="3">
        <v>0.15</v>
      </c>
      <c r="T67" s="3">
        <v>0.01</v>
      </c>
      <c r="U67" s="3">
        <v>0</v>
      </c>
      <c r="V67" s="3">
        <v>9.8000000000000007</v>
      </c>
      <c r="W67" s="3">
        <v>6</v>
      </c>
      <c r="X67" s="3">
        <v>54</v>
      </c>
      <c r="Y67" s="3">
        <v>1</v>
      </c>
      <c r="Z67" s="3">
        <v>85</v>
      </c>
      <c r="AA67" s="3">
        <v>0</v>
      </c>
      <c r="AB67" s="3">
        <v>0</v>
      </c>
      <c r="AC67" s="3" t="s">
        <v>64</v>
      </c>
      <c r="AD67" s="6" t="s">
        <v>65</v>
      </c>
      <c r="AE67" s="3">
        <v>1063</v>
      </c>
      <c r="AF67" s="3">
        <v>2.2000000000000002</v>
      </c>
      <c r="AG67" s="3">
        <v>492.63958333333301</v>
      </c>
      <c r="AH67" s="3">
        <v>23.649166666666702</v>
      </c>
      <c r="AI67" s="3">
        <v>83.2083333333333</v>
      </c>
      <c r="AJ67" s="3">
        <v>16.796458333333302</v>
      </c>
      <c r="AK67" s="3">
        <v>30.848749999999999</v>
      </c>
      <c r="AL67" s="3">
        <v>47.413958333333298</v>
      </c>
      <c r="AM67" s="3">
        <v>2</v>
      </c>
      <c r="AN67" s="3">
        <v>3</v>
      </c>
      <c r="AO67" s="7">
        <v>0.2388888888888889</v>
      </c>
      <c r="AP67" s="7">
        <v>0.77569444444444446</v>
      </c>
      <c r="AQ67" s="7">
        <v>3.5416666666666666E-2</v>
      </c>
      <c r="AR67" s="7">
        <v>0.5625</v>
      </c>
      <c r="AS67" s="3" t="s">
        <v>59</v>
      </c>
      <c r="AT67" s="3">
        <v>37</v>
      </c>
      <c r="AU67" s="3">
        <v>1</v>
      </c>
      <c r="AV67" s="3">
        <v>0</v>
      </c>
      <c r="AW67" s="3" t="s">
        <v>63</v>
      </c>
      <c r="AX67" s="3">
        <v>20</v>
      </c>
    </row>
    <row r="68" spans="1:50" ht="12.5" x14ac:dyDescent="0.25">
      <c r="A68" s="3" t="s">
        <v>88</v>
      </c>
      <c r="B68" s="3" t="s">
        <v>89</v>
      </c>
      <c r="C68" s="3" t="s">
        <v>52</v>
      </c>
      <c r="D68" s="3">
        <v>13.083299999999999</v>
      </c>
      <c r="E68" s="3">
        <v>80.283299999999997</v>
      </c>
      <c r="F68" s="3" t="s">
        <v>53</v>
      </c>
      <c r="G68" s="3">
        <v>1750250620</v>
      </c>
      <c r="H68" s="4">
        <f t="shared" ca="1" si="0"/>
        <v>46118.952512962962</v>
      </c>
      <c r="I68" s="5">
        <f t="shared" ca="1" si="1"/>
        <v>46118.952512962962</v>
      </c>
      <c r="J68" s="3">
        <v>1750464000</v>
      </c>
      <c r="K68" s="3">
        <v>35.5</v>
      </c>
      <c r="L68" s="3">
        <v>95.9</v>
      </c>
      <c r="M68" s="3">
        <v>30</v>
      </c>
      <c r="N68" s="3">
        <v>86</v>
      </c>
      <c r="O68" s="3">
        <v>31.7</v>
      </c>
      <c r="P68" s="3">
        <v>89.1</v>
      </c>
      <c r="Q68" s="3">
        <v>16.8</v>
      </c>
      <c r="R68" s="3">
        <v>27</v>
      </c>
      <c r="S68" s="3">
        <v>0.02</v>
      </c>
      <c r="T68" s="3">
        <v>0</v>
      </c>
      <c r="U68" s="3">
        <v>0</v>
      </c>
      <c r="V68" s="3">
        <v>9.9</v>
      </c>
      <c r="W68" s="3">
        <v>6</v>
      </c>
      <c r="X68" s="3">
        <v>56</v>
      </c>
      <c r="Y68" s="3">
        <v>0</v>
      </c>
      <c r="Z68" s="3">
        <v>0</v>
      </c>
      <c r="AA68" s="3">
        <v>0</v>
      </c>
      <c r="AB68" s="3">
        <v>0</v>
      </c>
      <c r="AC68" s="3" t="s">
        <v>67</v>
      </c>
      <c r="AD68" s="6" t="s">
        <v>68</v>
      </c>
      <c r="AE68" s="3">
        <v>1003</v>
      </c>
      <c r="AF68" s="3">
        <v>2.2999999999999998</v>
      </c>
      <c r="AG68" s="3">
        <v>588.91666666666697</v>
      </c>
      <c r="AH68" s="3">
        <v>21.637291666666702</v>
      </c>
      <c r="AI68" s="3">
        <v>86.9583333333333</v>
      </c>
      <c r="AJ68" s="3">
        <v>16.28</v>
      </c>
      <c r="AK68" s="3">
        <v>31.804583333333301</v>
      </c>
      <c r="AL68" s="3">
        <v>47.367708333333297</v>
      </c>
      <c r="AM68" s="3">
        <v>2</v>
      </c>
      <c r="AN68" s="3">
        <v>3</v>
      </c>
      <c r="AO68" s="7">
        <v>0.2388888888888889</v>
      </c>
      <c r="AP68" s="7">
        <v>0.77569444444444446</v>
      </c>
      <c r="AQ68" s="7">
        <v>6.5277777777777782E-2</v>
      </c>
      <c r="AR68" s="7">
        <v>0.60277777777777775</v>
      </c>
      <c r="AS68" s="3" t="s">
        <v>59</v>
      </c>
      <c r="AT68" s="3">
        <v>26</v>
      </c>
      <c r="AU68" s="3">
        <v>1</v>
      </c>
      <c r="AV68" s="3">
        <v>0</v>
      </c>
      <c r="AW68" s="3" t="s">
        <v>66</v>
      </c>
      <c r="AX68" s="3">
        <v>21</v>
      </c>
    </row>
    <row r="69" spans="1:50" ht="12.5" x14ac:dyDescent="0.25">
      <c r="A69" s="3" t="s">
        <v>88</v>
      </c>
      <c r="B69" s="3" t="s">
        <v>89</v>
      </c>
      <c r="C69" s="3" t="s">
        <v>52</v>
      </c>
      <c r="D69" s="3">
        <v>13.083299999999999</v>
      </c>
      <c r="E69" s="3">
        <v>80.283299999999997</v>
      </c>
      <c r="F69" s="3" t="s">
        <v>53</v>
      </c>
      <c r="G69" s="3">
        <v>1750250620</v>
      </c>
      <c r="H69" s="4">
        <f t="shared" ca="1" si="0"/>
        <v>46118.952512962962</v>
      </c>
      <c r="I69" s="5">
        <f t="shared" ca="1" si="1"/>
        <v>46118.952512962962</v>
      </c>
      <c r="J69" s="3">
        <v>1750550400</v>
      </c>
      <c r="K69" s="3">
        <v>35.4</v>
      </c>
      <c r="L69" s="3">
        <v>95.7</v>
      </c>
      <c r="M69" s="3">
        <v>30</v>
      </c>
      <c r="N69" s="3">
        <v>86</v>
      </c>
      <c r="O69" s="3">
        <v>32</v>
      </c>
      <c r="P69" s="3">
        <v>89.6</v>
      </c>
      <c r="Q69" s="3">
        <v>17.399999999999999</v>
      </c>
      <c r="R69" s="3">
        <v>28.1</v>
      </c>
      <c r="S69" s="3">
        <v>0.36</v>
      </c>
      <c r="T69" s="3">
        <v>0.01</v>
      </c>
      <c r="U69" s="3">
        <v>0</v>
      </c>
      <c r="V69" s="3">
        <v>9.8000000000000007</v>
      </c>
      <c r="W69" s="3">
        <v>6</v>
      </c>
      <c r="X69" s="3">
        <v>53</v>
      </c>
      <c r="Y69" s="3">
        <v>1</v>
      </c>
      <c r="Z69" s="3">
        <v>76</v>
      </c>
      <c r="AA69" s="3">
        <v>0</v>
      </c>
      <c r="AB69" s="3">
        <v>0</v>
      </c>
      <c r="AC69" s="3" t="s">
        <v>64</v>
      </c>
      <c r="AD69" s="6" t="s">
        <v>65</v>
      </c>
      <c r="AE69" s="3">
        <v>1063</v>
      </c>
      <c r="AF69" s="3">
        <v>2.7</v>
      </c>
      <c r="AG69" s="3">
        <v>436.754166666667</v>
      </c>
      <c r="AH69" s="3">
        <v>22.816666666666698</v>
      </c>
      <c r="AI69" s="3">
        <v>82.5</v>
      </c>
      <c r="AJ69" s="3">
        <v>20.673749999999998</v>
      </c>
      <c r="AK69" s="3">
        <v>25.961666666666702</v>
      </c>
      <c r="AL69" s="3">
        <v>35.396666666666697</v>
      </c>
      <c r="AM69" s="3">
        <v>2</v>
      </c>
      <c r="AN69" s="3">
        <v>3</v>
      </c>
      <c r="AO69" s="7">
        <v>0.2388888888888889</v>
      </c>
      <c r="AP69" s="7">
        <v>0.77638888888888891</v>
      </c>
      <c r="AQ69" s="7">
        <v>9.7916666666666666E-2</v>
      </c>
      <c r="AR69" s="7">
        <v>0.64583333333333337</v>
      </c>
      <c r="AS69" s="3" t="s">
        <v>59</v>
      </c>
      <c r="AT69" s="3">
        <v>16</v>
      </c>
      <c r="AU69" s="3">
        <v>1</v>
      </c>
      <c r="AV69" s="3">
        <v>0</v>
      </c>
      <c r="AW69" s="3" t="s">
        <v>69</v>
      </c>
      <c r="AX69" s="3">
        <v>22</v>
      </c>
    </row>
    <row r="70" spans="1:50" ht="12.5" x14ac:dyDescent="0.25">
      <c r="A70" s="3" t="s">
        <v>88</v>
      </c>
      <c r="B70" s="3" t="s">
        <v>89</v>
      </c>
      <c r="C70" s="3" t="s">
        <v>52</v>
      </c>
      <c r="D70" s="3">
        <v>13.083299999999999</v>
      </c>
      <c r="E70" s="3">
        <v>80.283299999999997</v>
      </c>
      <c r="F70" s="3" t="s">
        <v>53</v>
      </c>
      <c r="G70" s="3">
        <v>1750250620</v>
      </c>
      <c r="H70" s="4">
        <f t="shared" ca="1" si="0"/>
        <v>46118.952512962962</v>
      </c>
      <c r="I70" s="5">
        <f t="shared" ca="1" si="1"/>
        <v>46118.952512962962</v>
      </c>
      <c r="J70" s="3">
        <v>1750636800</v>
      </c>
      <c r="K70" s="3">
        <v>31.8</v>
      </c>
      <c r="L70" s="3">
        <v>89.3</v>
      </c>
      <c r="M70" s="3">
        <v>30</v>
      </c>
      <c r="N70" s="3">
        <v>86.1</v>
      </c>
      <c r="O70" s="3">
        <v>30.9</v>
      </c>
      <c r="P70" s="3">
        <v>87.6</v>
      </c>
      <c r="Q70" s="3">
        <v>16.100000000000001</v>
      </c>
      <c r="R70" s="3">
        <v>25.9</v>
      </c>
      <c r="S70" s="3">
        <v>0.43</v>
      </c>
      <c r="T70" s="3">
        <v>0.02</v>
      </c>
      <c r="U70" s="3">
        <v>0</v>
      </c>
      <c r="V70" s="3">
        <v>9.9</v>
      </c>
      <c r="W70" s="3">
        <v>6</v>
      </c>
      <c r="X70" s="3">
        <v>52</v>
      </c>
      <c r="Y70" s="3">
        <v>1</v>
      </c>
      <c r="Z70" s="3">
        <v>84</v>
      </c>
      <c r="AA70" s="3">
        <v>0</v>
      </c>
      <c r="AB70" s="3">
        <v>0</v>
      </c>
      <c r="AC70" s="3" t="s">
        <v>64</v>
      </c>
      <c r="AD70" s="6" t="s">
        <v>65</v>
      </c>
      <c r="AE70" s="3">
        <v>1063</v>
      </c>
      <c r="AF70" s="3">
        <v>7</v>
      </c>
      <c r="AO70" s="7">
        <v>0.2388888888888889</v>
      </c>
      <c r="AP70" s="7">
        <v>0.77638888888888891</v>
      </c>
      <c r="AQ70" s="7">
        <v>0.13472222222222222</v>
      </c>
      <c r="AR70" s="7">
        <v>0.69097222222222221</v>
      </c>
      <c r="AS70" s="3" t="s">
        <v>59</v>
      </c>
      <c r="AT70" s="3">
        <v>9</v>
      </c>
      <c r="AU70" s="3">
        <v>1</v>
      </c>
      <c r="AV70" s="3">
        <v>0</v>
      </c>
      <c r="AW70" s="3" t="s">
        <v>70</v>
      </c>
      <c r="AX70" s="3">
        <v>23</v>
      </c>
    </row>
    <row r="71" spans="1:50" ht="12.5" x14ac:dyDescent="0.25">
      <c r="A71" s="3" t="s">
        <v>88</v>
      </c>
      <c r="B71" s="3" t="s">
        <v>89</v>
      </c>
      <c r="C71" s="3" t="s">
        <v>52</v>
      </c>
      <c r="D71" s="3">
        <v>13.083299999999999</v>
      </c>
      <c r="E71" s="3">
        <v>80.283299999999997</v>
      </c>
      <c r="F71" s="3" t="s">
        <v>53</v>
      </c>
      <c r="G71" s="3">
        <v>1750250620</v>
      </c>
      <c r="H71" s="4">
        <f t="shared" ca="1" si="0"/>
        <v>46118.952512962962</v>
      </c>
      <c r="I71" s="5">
        <f t="shared" ca="1" si="1"/>
        <v>46118.952512962962</v>
      </c>
      <c r="J71" s="3">
        <v>1750723200</v>
      </c>
      <c r="K71" s="3">
        <v>36.1</v>
      </c>
      <c r="L71" s="3">
        <v>97</v>
      </c>
      <c r="M71" s="3">
        <v>29.3</v>
      </c>
      <c r="N71" s="3">
        <v>84.7</v>
      </c>
      <c r="O71" s="3">
        <v>31.5</v>
      </c>
      <c r="P71" s="3">
        <v>88.7</v>
      </c>
      <c r="Q71" s="3">
        <v>17.7</v>
      </c>
      <c r="R71" s="3">
        <v>28.4</v>
      </c>
      <c r="S71" s="3">
        <v>0.04</v>
      </c>
      <c r="T71" s="3">
        <v>0</v>
      </c>
      <c r="U71" s="3">
        <v>0</v>
      </c>
      <c r="V71" s="3">
        <v>9.9</v>
      </c>
      <c r="W71" s="3">
        <v>6</v>
      </c>
      <c r="X71" s="3">
        <v>54</v>
      </c>
      <c r="Y71" s="3">
        <v>0</v>
      </c>
      <c r="Z71" s="3">
        <v>0</v>
      </c>
      <c r="AA71" s="3">
        <v>0</v>
      </c>
      <c r="AB71" s="3">
        <v>0</v>
      </c>
      <c r="AC71" s="3" t="s">
        <v>67</v>
      </c>
      <c r="AD71" s="6" t="s">
        <v>68</v>
      </c>
      <c r="AE71" s="3">
        <v>1003</v>
      </c>
      <c r="AF71" s="3">
        <v>8</v>
      </c>
      <c r="AO71" s="7">
        <v>0.23958333333333334</v>
      </c>
      <c r="AP71" s="7">
        <v>0.77638888888888891</v>
      </c>
      <c r="AQ71" s="7">
        <v>0.17499999999999999</v>
      </c>
      <c r="AR71" s="7">
        <v>0.73750000000000004</v>
      </c>
      <c r="AS71" s="3" t="s">
        <v>59</v>
      </c>
      <c r="AT71" s="3">
        <v>3</v>
      </c>
      <c r="AU71" s="3">
        <v>1</v>
      </c>
      <c r="AV71" s="3">
        <v>0</v>
      </c>
      <c r="AW71" s="3" t="s">
        <v>71</v>
      </c>
      <c r="AX71" s="3">
        <v>24</v>
      </c>
    </row>
    <row r="72" spans="1:50" ht="12.5" x14ac:dyDescent="0.25">
      <c r="A72" s="3" t="s">
        <v>90</v>
      </c>
      <c r="B72" s="3" t="s">
        <v>91</v>
      </c>
      <c r="C72" s="3" t="s">
        <v>52</v>
      </c>
      <c r="D72" s="3">
        <v>28.6</v>
      </c>
      <c r="E72" s="3">
        <v>77.2</v>
      </c>
      <c r="F72" s="3" t="s">
        <v>53</v>
      </c>
      <c r="G72" s="3">
        <v>1750251054</v>
      </c>
      <c r="H72" s="4">
        <f t="shared" ca="1" si="0"/>
        <v>46118.952512962962</v>
      </c>
      <c r="I72" s="5">
        <f t="shared" ca="1" si="1"/>
        <v>46118.952512962962</v>
      </c>
      <c r="J72" s="3">
        <v>1750204800</v>
      </c>
      <c r="K72" s="3">
        <v>36.9</v>
      </c>
      <c r="L72" s="3">
        <v>98.5</v>
      </c>
      <c r="M72" s="3">
        <v>29</v>
      </c>
      <c r="N72" s="3">
        <v>84.2</v>
      </c>
      <c r="O72" s="3">
        <v>32.6</v>
      </c>
      <c r="P72" s="3">
        <v>90.6</v>
      </c>
      <c r="Q72" s="3">
        <v>6.5</v>
      </c>
      <c r="R72" s="3">
        <v>10.4</v>
      </c>
      <c r="S72" s="3">
        <v>10.62</v>
      </c>
      <c r="T72" s="3">
        <v>0.42</v>
      </c>
      <c r="U72" s="3">
        <v>0</v>
      </c>
      <c r="V72" s="3">
        <v>9.6</v>
      </c>
      <c r="W72" s="3">
        <v>5</v>
      </c>
      <c r="X72" s="3">
        <v>57</v>
      </c>
      <c r="Y72" s="3">
        <v>1</v>
      </c>
      <c r="Z72" s="3">
        <v>86</v>
      </c>
      <c r="AA72" s="3">
        <v>0</v>
      </c>
      <c r="AB72" s="3">
        <v>0</v>
      </c>
      <c r="AC72" s="3" t="s">
        <v>61</v>
      </c>
      <c r="AD72" s="6" t="s">
        <v>62</v>
      </c>
      <c r="AE72" s="3">
        <v>1189</v>
      </c>
      <c r="AF72" s="3">
        <v>1.3</v>
      </c>
      <c r="AG72" s="3">
        <v>2096.28125</v>
      </c>
      <c r="AH72" s="3">
        <v>45.656458333333298</v>
      </c>
      <c r="AI72" s="3">
        <v>102.25</v>
      </c>
      <c r="AJ72" s="3">
        <v>38.3027083333333</v>
      </c>
      <c r="AK72" s="3">
        <v>76.281666666666695</v>
      </c>
      <c r="AL72" s="3">
        <v>177.098958333333</v>
      </c>
      <c r="AM72" s="3">
        <v>4</v>
      </c>
      <c r="AN72" s="3">
        <v>10</v>
      </c>
      <c r="AO72" s="7">
        <v>0.22500000000000001</v>
      </c>
      <c r="AP72" s="7">
        <v>0.80694444444444446</v>
      </c>
      <c r="AQ72" s="3" t="s">
        <v>56</v>
      </c>
      <c r="AR72" s="7">
        <v>0.49305555555555558</v>
      </c>
      <c r="AS72" s="3" t="s">
        <v>57</v>
      </c>
      <c r="AT72" s="3">
        <v>59</v>
      </c>
      <c r="AU72" s="3">
        <v>1</v>
      </c>
      <c r="AV72" s="3">
        <v>0</v>
      </c>
      <c r="AW72" s="3" t="s">
        <v>58</v>
      </c>
      <c r="AX72" s="3">
        <v>18</v>
      </c>
    </row>
    <row r="73" spans="1:50" ht="12.5" x14ac:dyDescent="0.25">
      <c r="A73" s="3" t="s">
        <v>90</v>
      </c>
      <c r="B73" s="3" t="s">
        <v>91</v>
      </c>
      <c r="C73" s="3" t="s">
        <v>52</v>
      </c>
      <c r="D73" s="3">
        <v>28.6</v>
      </c>
      <c r="E73" s="3">
        <v>77.2</v>
      </c>
      <c r="F73" s="3" t="s">
        <v>53</v>
      </c>
      <c r="G73" s="3">
        <v>1750251054</v>
      </c>
      <c r="H73" s="4">
        <f t="shared" ca="1" si="0"/>
        <v>46118.952512962962</v>
      </c>
      <c r="I73" s="5">
        <f t="shared" ca="1" si="1"/>
        <v>46118.952512962962</v>
      </c>
      <c r="J73" s="3">
        <v>1750291200</v>
      </c>
      <c r="K73" s="3">
        <v>35.4</v>
      </c>
      <c r="L73" s="3">
        <v>95.7</v>
      </c>
      <c r="M73" s="3">
        <v>29.2</v>
      </c>
      <c r="N73" s="3">
        <v>84.6</v>
      </c>
      <c r="O73" s="3">
        <v>32.4</v>
      </c>
      <c r="P73" s="3">
        <v>90.3</v>
      </c>
      <c r="Q73" s="3">
        <v>10.1</v>
      </c>
      <c r="R73" s="3">
        <v>16.2</v>
      </c>
      <c r="S73" s="3">
        <v>6.15</v>
      </c>
      <c r="T73" s="3">
        <v>0.24</v>
      </c>
      <c r="U73" s="3">
        <v>0</v>
      </c>
      <c r="V73" s="3">
        <v>9.8000000000000007</v>
      </c>
      <c r="W73" s="3">
        <v>6</v>
      </c>
      <c r="X73" s="3">
        <v>59</v>
      </c>
      <c r="Y73" s="3">
        <v>1</v>
      </c>
      <c r="Z73" s="3">
        <v>89</v>
      </c>
      <c r="AA73" s="3">
        <v>0</v>
      </c>
      <c r="AB73" s="3">
        <v>0</v>
      </c>
      <c r="AC73" s="3" t="s">
        <v>61</v>
      </c>
      <c r="AD73" s="6" t="s">
        <v>62</v>
      </c>
      <c r="AE73" s="3">
        <v>1189</v>
      </c>
      <c r="AF73" s="3">
        <v>2.2999999999999998</v>
      </c>
      <c r="AG73" s="3">
        <v>1183.9229166666701</v>
      </c>
      <c r="AH73" s="3">
        <v>41.085416666666703</v>
      </c>
      <c r="AI73" s="3">
        <v>122.5</v>
      </c>
      <c r="AJ73" s="3">
        <v>42.78125</v>
      </c>
      <c r="AK73" s="3">
        <v>99.260208333333395</v>
      </c>
      <c r="AL73" s="3">
        <v>244.53145833333301</v>
      </c>
      <c r="AM73" s="3">
        <v>4</v>
      </c>
      <c r="AN73" s="3">
        <v>10</v>
      </c>
      <c r="AO73" s="7">
        <v>0.22500000000000001</v>
      </c>
      <c r="AP73" s="7">
        <v>0.80694444444444446</v>
      </c>
      <c r="AQ73" s="7">
        <v>1.6666666666666666E-2</v>
      </c>
      <c r="AR73" s="7">
        <v>0.53541666666666665</v>
      </c>
      <c r="AS73" s="3" t="s">
        <v>59</v>
      </c>
      <c r="AT73" s="3">
        <v>48</v>
      </c>
      <c r="AU73" s="3">
        <v>1</v>
      </c>
      <c r="AV73" s="3">
        <v>1</v>
      </c>
      <c r="AW73" s="3" t="s">
        <v>60</v>
      </c>
      <c r="AX73" s="3">
        <v>19</v>
      </c>
    </row>
    <row r="74" spans="1:50" ht="12.5" x14ac:dyDescent="0.25">
      <c r="A74" s="3" t="s">
        <v>90</v>
      </c>
      <c r="B74" s="3" t="s">
        <v>91</v>
      </c>
      <c r="C74" s="3" t="s">
        <v>52</v>
      </c>
      <c r="D74" s="3">
        <v>28.6</v>
      </c>
      <c r="E74" s="3">
        <v>77.2</v>
      </c>
      <c r="F74" s="3" t="s">
        <v>53</v>
      </c>
      <c r="G74" s="3">
        <v>1750251054</v>
      </c>
      <c r="H74" s="4">
        <f t="shared" ca="1" si="0"/>
        <v>46118.952512962962</v>
      </c>
      <c r="I74" s="5">
        <f t="shared" ca="1" si="1"/>
        <v>46118.952512962962</v>
      </c>
      <c r="J74" s="3">
        <v>1750377600</v>
      </c>
      <c r="K74" s="3">
        <v>36.5</v>
      </c>
      <c r="L74" s="3">
        <v>97.7</v>
      </c>
      <c r="M74" s="3">
        <v>30.6</v>
      </c>
      <c r="N74" s="3">
        <v>87</v>
      </c>
      <c r="O74" s="3">
        <v>33.4</v>
      </c>
      <c r="P74" s="3">
        <v>92.1</v>
      </c>
      <c r="Q74" s="3">
        <v>9.6</v>
      </c>
      <c r="R74" s="3">
        <v>15.5</v>
      </c>
      <c r="S74" s="3">
        <v>4.1900000000000004</v>
      </c>
      <c r="T74" s="3">
        <v>0.16</v>
      </c>
      <c r="U74" s="3">
        <v>0</v>
      </c>
      <c r="V74" s="3">
        <v>9.8000000000000007</v>
      </c>
      <c r="W74" s="3">
        <v>6</v>
      </c>
      <c r="X74" s="3">
        <v>56</v>
      </c>
      <c r="Y74" s="3">
        <v>1</v>
      </c>
      <c r="Z74" s="3">
        <v>89</v>
      </c>
      <c r="AA74" s="3">
        <v>0</v>
      </c>
      <c r="AB74" s="3">
        <v>0</v>
      </c>
      <c r="AC74" s="3" t="s">
        <v>64</v>
      </c>
      <c r="AD74" s="6" t="s">
        <v>65</v>
      </c>
      <c r="AE74" s="3">
        <v>1063</v>
      </c>
      <c r="AF74" s="3">
        <v>1.8</v>
      </c>
      <c r="AG74" s="3">
        <v>1097.7437500000001</v>
      </c>
      <c r="AH74" s="3">
        <v>46.0804166666667</v>
      </c>
      <c r="AI74" s="3">
        <v>116.833333333333</v>
      </c>
      <c r="AJ74" s="3">
        <v>43.498125000000002</v>
      </c>
      <c r="AK74" s="3">
        <v>85.531666666666695</v>
      </c>
      <c r="AL74" s="3">
        <v>213.97562500000001</v>
      </c>
      <c r="AM74" s="3">
        <v>4</v>
      </c>
      <c r="AN74" s="3">
        <v>10</v>
      </c>
      <c r="AO74" s="7">
        <v>0.22500000000000001</v>
      </c>
      <c r="AP74" s="7">
        <v>0.80694444444444446</v>
      </c>
      <c r="AQ74" s="7">
        <v>3.888888888888889E-2</v>
      </c>
      <c r="AR74" s="7">
        <v>0.5805555555555556</v>
      </c>
      <c r="AS74" s="3" t="s">
        <v>59</v>
      </c>
      <c r="AT74" s="3">
        <v>37</v>
      </c>
      <c r="AU74" s="3">
        <v>1</v>
      </c>
      <c r="AV74" s="3">
        <v>1</v>
      </c>
      <c r="AW74" s="3" t="s">
        <v>63</v>
      </c>
      <c r="AX74" s="3">
        <v>20</v>
      </c>
    </row>
    <row r="75" spans="1:50" ht="12.5" x14ac:dyDescent="0.25">
      <c r="A75" s="3" t="s">
        <v>90</v>
      </c>
      <c r="B75" s="3" t="s">
        <v>91</v>
      </c>
      <c r="C75" s="3" t="s">
        <v>52</v>
      </c>
      <c r="D75" s="3">
        <v>28.6</v>
      </c>
      <c r="E75" s="3">
        <v>77.2</v>
      </c>
      <c r="F75" s="3" t="s">
        <v>53</v>
      </c>
      <c r="G75" s="3">
        <v>1750251054</v>
      </c>
      <c r="H75" s="4">
        <f t="shared" ca="1" si="0"/>
        <v>46118.952512962962</v>
      </c>
      <c r="I75" s="5">
        <f t="shared" ca="1" si="1"/>
        <v>46118.952512962962</v>
      </c>
      <c r="J75" s="3">
        <v>1750464000</v>
      </c>
      <c r="K75" s="3">
        <v>36.299999999999997</v>
      </c>
      <c r="L75" s="3">
        <v>97.3</v>
      </c>
      <c r="M75" s="3">
        <v>31.3</v>
      </c>
      <c r="N75" s="3">
        <v>88.4</v>
      </c>
      <c r="O75" s="3">
        <v>34.1</v>
      </c>
      <c r="P75" s="3">
        <v>93.4</v>
      </c>
      <c r="Q75" s="3">
        <v>8.1</v>
      </c>
      <c r="R75" s="3">
        <v>13</v>
      </c>
      <c r="S75" s="3">
        <v>5.92</v>
      </c>
      <c r="T75" s="3">
        <v>0.23</v>
      </c>
      <c r="U75" s="3">
        <v>0</v>
      </c>
      <c r="V75" s="3">
        <v>9.9</v>
      </c>
      <c r="W75" s="3">
        <v>6</v>
      </c>
      <c r="X75" s="3">
        <v>51</v>
      </c>
      <c r="Y75" s="3">
        <v>1</v>
      </c>
      <c r="Z75" s="3">
        <v>74</v>
      </c>
      <c r="AA75" s="3">
        <v>0</v>
      </c>
      <c r="AB75" s="3">
        <v>0</v>
      </c>
      <c r="AC75" s="3" t="s">
        <v>61</v>
      </c>
      <c r="AD75" s="6" t="s">
        <v>62</v>
      </c>
      <c r="AE75" s="3">
        <v>1189</v>
      </c>
      <c r="AF75" s="3">
        <v>2</v>
      </c>
      <c r="AG75" s="3">
        <v>1165.8854166666699</v>
      </c>
      <c r="AH75" s="3">
        <v>57.905000000000001</v>
      </c>
      <c r="AI75" s="3">
        <v>121.458333333333</v>
      </c>
      <c r="AJ75" s="3">
        <v>48.084583333333299</v>
      </c>
      <c r="AK75" s="3">
        <v>83.381041666666704</v>
      </c>
      <c r="AL75" s="3">
        <v>159.362083333333</v>
      </c>
      <c r="AM75" s="3">
        <v>4</v>
      </c>
      <c r="AN75" s="3">
        <v>10</v>
      </c>
      <c r="AO75" s="7">
        <v>0.22500000000000001</v>
      </c>
      <c r="AP75" s="7">
        <v>0.80694444444444446</v>
      </c>
      <c r="AQ75" s="7">
        <v>6.25E-2</v>
      </c>
      <c r="AR75" s="7">
        <v>0.62708333333333333</v>
      </c>
      <c r="AS75" s="3" t="s">
        <v>59</v>
      </c>
      <c r="AT75" s="3">
        <v>26</v>
      </c>
      <c r="AU75" s="3">
        <v>1</v>
      </c>
      <c r="AV75" s="3">
        <v>1</v>
      </c>
      <c r="AW75" s="3" t="s">
        <v>66</v>
      </c>
      <c r="AX75" s="3">
        <v>21</v>
      </c>
    </row>
    <row r="76" spans="1:50" ht="12.5" x14ac:dyDescent="0.25">
      <c r="A76" s="3" t="s">
        <v>90</v>
      </c>
      <c r="B76" s="3" t="s">
        <v>91</v>
      </c>
      <c r="C76" s="3" t="s">
        <v>52</v>
      </c>
      <c r="D76" s="3">
        <v>28.6</v>
      </c>
      <c r="E76" s="3">
        <v>77.2</v>
      </c>
      <c r="F76" s="3" t="s">
        <v>53</v>
      </c>
      <c r="G76" s="3">
        <v>1750251054</v>
      </c>
      <c r="H76" s="4">
        <f t="shared" ca="1" si="0"/>
        <v>46118.952512962962</v>
      </c>
      <c r="I76" s="5">
        <f t="shared" ca="1" si="1"/>
        <v>46118.952512962962</v>
      </c>
      <c r="J76" s="3">
        <v>1750550400</v>
      </c>
      <c r="K76" s="3">
        <v>39.200000000000003</v>
      </c>
      <c r="L76" s="3">
        <v>102.6</v>
      </c>
      <c r="M76" s="3">
        <v>32</v>
      </c>
      <c r="N76" s="3">
        <v>89.6</v>
      </c>
      <c r="O76" s="3">
        <v>36.1</v>
      </c>
      <c r="P76" s="3">
        <v>97</v>
      </c>
      <c r="Q76" s="3">
        <v>10.3</v>
      </c>
      <c r="R76" s="3">
        <v>16.600000000000001</v>
      </c>
      <c r="S76" s="3">
        <v>3.17</v>
      </c>
      <c r="T76" s="3">
        <v>0.12</v>
      </c>
      <c r="U76" s="3">
        <v>0</v>
      </c>
      <c r="V76" s="3">
        <v>9.9</v>
      </c>
      <c r="W76" s="3">
        <v>6</v>
      </c>
      <c r="X76" s="3">
        <v>41</v>
      </c>
      <c r="Y76" s="3">
        <v>1</v>
      </c>
      <c r="Z76" s="3">
        <v>80</v>
      </c>
      <c r="AA76" s="3">
        <v>0</v>
      </c>
      <c r="AB76" s="3">
        <v>0</v>
      </c>
      <c r="AC76" s="3" t="s">
        <v>64</v>
      </c>
      <c r="AD76" s="6" t="s">
        <v>65</v>
      </c>
      <c r="AE76" s="3">
        <v>1063</v>
      </c>
      <c r="AF76" s="3">
        <v>2</v>
      </c>
      <c r="AG76" s="3">
        <v>816.15833333333296</v>
      </c>
      <c r="AH76" s="3">
        <v>42.257083333333298</v>
      </c>
      <c r="AI76" s="3">
        <v>166.833333333333</v>
      </c>
      <c r="AJ76" s="3">
        <v>60.5104166666667</v>
      </c>
      <c r="AK76" s="3">
        <v>77.730833333333393</v>
      </c>
      <c r="AL76" s="3">
        <v>117.182083333333</v>
      </c>
      <c r="AM76" s="3">
        <v>4</v>
      </c>
      <c r="AN76" s="3">
        <v>10</v>
      </c>
      <c r="AO76" s="7">
        <v>0.22500000000000001</v>
      </c>
      <c r="AP76" s="7">
        <v>0.80763888888888891</v>
      </c>
      <c r="AQ76" s="7">
        <v>8.8888888888888892E-2</v>
      </c>
      <c r="AR76" s="7">
        <v>0.67569444444444449</v>
      </c>
      <c r="AS76" s="3" t="s">
        <v>59</v>
      </c>
      <c r="AT76" s="3">
        <v>16</v>
      </c>
      <c r="AU76" s="3">
        <v>1</v>
      </c>
      <c r="AV76" s="3">
        <v>1</v>
      </c>
      <c r="AW76" s="3" t="s">
        <v>69</v>
      </c>
      <c r="AX76" s="3">
        <v>22</v>
      </c>
    </row>
    <row r="77" spans="1:50" ht="12.5" x14ac:dyDescent="0.25">
      <c r="A77" s="3" t="s">
        <v>90</v>
      </c>
      <c r="B77" s="3" t="s">
        <v>91</v>
      </c>
      <c r="C77" s="3" t="s">
        <v>52</v>
      </c>
      <c r="D77" s="3">
        <v>28.6</v>
      </c>
      <c r="E77" s="3">
        <v>77.2</v>
      </c>
      <c r="F77" s="3" t="s">
        <v>53</v>
      </c>
      <c r="G77" s="3">
        <v>1750251054</v>
      </c>
      <c r="H77" s="4">
        <f t="shared" ca="1" si="0"/>
        <v>46118.952512962962</v>
      </c>
      <c r="I77" s="5">
        <f t="shared" ca="1" si="1"/>
        <v>46118.952512962962</v>
      </c>
      <c r="J77" s="3">
        <v>1750636800</v>
      </c>
      <c r="K77" s="3">
        <v>39.799999999999997</v>
      </c>
      <c r="L77" s="3">
        <v>103.6</v>
      </c>
      <c r="M77" s="3">
        <v>33.5</v>
      </c>
      <c r="N77" s="3">
        <v>92.3</v>
      </c>
      <c r="O77" s="3">
        <v>36.200000000000003</v>
      </c>
      <c r="P77" s="3">
        <v>97.1</v>
      </c>
      <c r="Q77" s="3">
        <v>13.2</v>
      </c>
      <c r="R77" s="3">
        <v>21.2</v>
      </c>
      <c r="S77" s="3">
        <v>2.4700000000000002</v>
      </c>
      <c r="T77" s="3">
        <v>0.1</v>
      </c>
      <c r="U77" s="3">
        <v>0</v>
      </c>
      <c r="V77" s="3">
        <v>9.9</v>
      </c>
      <c r="W77" s="3">
        <v>6</v>
      </c>
      <c r="X77" s="3">
        <v>41</v>
      </c>
      <c r="Y77" s="3">
        <v>0</v>
      </c>
      <c r="Z77" s="3">
        <v>65</v>
      </c>
      <c r="AA77" s="3">
        <v>0</v>
      </c>
      <c r="AB77" s="3">
        <v>0</v>
      </c>
      <c r="AC77" s="3" t="s">
        <v>64</v>
      </c>
      <c r="AD77" s="6" t="s">
        <v>65</v>
      </c>
      <c r="AE77" s="3">
        <v>1063</v>
      </c>
      <c r="AF77" s="3">
        <v>8</v>
      </c>
      <c r="AO77" s="7">
        <v>0.22569444444444445</v>
      </c>
      <c r="AP77" s="7">
        <v>0.80763888888888891</v>
      </c>
      <c r="AQ77" s="7">
        <v>0.12013888888888889</v>
      </c>
      <c r="AR77" s="7">
        <v>0.72569444444444442</v>
      </c>
      <c r="AS77" s="3" t="s">
        <v>59</v>
      </c>
      <c r="AT77" s="3">
        <v>9</v>
      </c>
      <c r="AU77" s="3">
        <v>1</v>
      </c>
      <c r="AV77" s="3">
        <v>1</v>
      </c>
      <c r="AW77" s="3" t="s">
        <v>70</v>
      </c>
      <c r="AX77" s="3">
        <v>23</v>
      </c>
    </row>
    <row r="78" spans="1:50" ht="12.5" x14ac:dyDescent="0.25">
      <c r="A78" s="3" t="s">
        <v>90</v>
      </c>
      <c r="B78" s="3" t="s">
        <v>91</v>
      </c>
      <c r="C78" s="3" t="s">
        <v>52</v>
      </c>
      <c r="D78" s="3">
        <v>28.6</v>
      </c>
      <c r="E78" s="3">
        <v>77.2</v>
      </c>
      <c r="F78" s="3" t="s">
        <v>53</v>
      </c>
      <c r="G78" s="3">
        <v>1750251054</v>
      </c>
      <c r="H78" s="4">
        <f t="shared" ca="1" si="0"/>
        <v>46118.952512962962</v>
      </c>
      <c r="I78" s="5">
        <f t="shared" ca="1" si="1"/>
        <v>46118.952512962962</v>
      </c>
      <c r="J78" s="3">
        <v>1750723200</v>
      </c>
      <c r="K78" s="3">
        <v>34.5</v>
      </c>
      <c r="L78" s="3">
        <v>94</v>
      </c>
      <c r="M78" s="3">
        <v>31.9</v>
      </c>
      <c r="N78" s="3">
        <v>89.5</v>
      </c>
      <c r="O78" s="3">
        <v>33.9</v>
      </c>
      <c r="P78" s="3">
        <v>93</v>
      </c>
      <c r="Q78" s="3">
        <v>11.6</v>
      </c>
      <c r="R78" s="3">
        <v>18.7</v>
      </c>
      <c r="S78" s="3">
        <v>0.25</v>
      </c>
      <c r="T78" s="3">
        <v>0.01</v>
      </c>
      <c r="U78" s="3">
        <v>0</v>
      </c>
      <c r="V78" s="3">
        <v>9.8000000000000007</v>
      </c>
      <c r="W78" s="3">
        <v>6</v>
      </c>
      <c r="X78" s="3">
        <v>48</v>
      </c>
      <c r="Y78" s="3">
        <v>0</v>
      </c>
      <c r="Z78" s="3">
        <v>63</v>
      </c>
      <c r="AA78" s="3">
        <v>0</v>
      </c>
      <c r="AB78" s="3">
        <v>0</v>
      </c>
      <c r="AC78" s="3" t="s">
        <v>64</v>
      </c>
      <c r="AD78" s="6" t="s">
        <v>65</v>
      </c>
      <c r="AE78" s="3">
        <v>1063</v>
      </c>
      <c r="AF78" s="3">
        <v>7</v>
      </c>
      <c r="AO78" s="7">
        <v>0.22569444444444445</v>
      </c>
      <c r="AP78" s="7">
        <v>0.80763888888888891</v>
      </c>
      <c r="AQ78" s="7">
        <v>0.15763888888888888</v>
      </c>
      <c r="AR78" s="7">
        <v>0.77500000000000002</v>
      </c>
      <c r="AS78" s="3" t="s">
        <v>59</v>
      </c>
      <c r="AT78" s="3">
        <v>3</v>
      </c>
      <c r="AU78" s="3">
        <v>1</v>
      </c>
      <c r="AV78" s="3">
        <v>1</v>
      </c>
      <c r="AW78" s="3" t="s">
        <v>71</v>
      </c>
      <c r="AX78" s="3">
        <v>24</v>
      </c>
    </row>
    <row r="79" spans="1:50" ht="12.5" x14ac:dyDescent="0.25">
      <c r="A79" s="3" t="s">
        <v>92</v>
      </c>
      <c r="B79" s="3" t="s">
        <v>93</v>
      </c>
      <c r="C79" s="3" t="s">
        <v>52</v>
      </c>
      <c r="D79" s="3">
        <v>20.966699999999999</v>
      </c>
      <c r="E79" s="3">
        <v>72.900000000000006</v>
      </c>
      <c r="F79" s="3" t="s">
        <v>53</v>
      </c>
      <c r="G79" s="3">
        <v>1750250966</v>
      </c>
      <c r="H79" s="4">
        <f t="shared" ca="1" si="0"/>
        <v>46118.952512962962</v>
      </c>
      <c r="I79" s="5">
        <f t="shared" ca="1" si="1"/>
        <v>46118.952512962962</v>
      </c>
      <c r="J79" s="3">
        <v>1750204800</v>
      </c>
      <c r="K79" s="3">
        <v>29.9</v>
      </c>
      <c r="L79" s="3">
        <v>85.9</v>
      </c>
      <c r="M79" s="3">
        <v>27.6</v>
      </c>
      <c r="N79" s="3">
        <v>81.7</v>
      </c>
      <c r="O79" s="3">
        <v>28.4</v>
      </c>
      <c r="P79" s="3">
        <v>83.1</v>
      </c>
      <c r="Q79" s="3">
        <v>19.5</v>
      </c>
      <c r="R79" s="3">
        <v>31.3</v>
      </c>
      <c r="S79" s="3">
        <v>42.01</v>
      </c>
      <c r="T79" s="3">
        <v>1.65</v>
      </c>
      <c r="U79" s="3">
        <v>0</v>
      </c>
      <c r="V79" s="3">
        <v>9.4</v>
      </c>
      <c r="W79" s="3">
        <v>5</v>
      </c>
      <c r="X79" s="3">
        <v>84</v>
      </c>
      <c r="Y79" s="3">
        <v>1</v>
      </c>
      <c r="Z79" s="3">
        <v>99</v>
      </c>
      <c r="AA79" s="3">
        <v>0</v>
      </c>
      <c r="AB79" s="3">
        <v>0</v>
      </c>
      <c r="AC79" s="3" t="s">
        <v>54</v>
      </c>
      <c r="AD79" s="6" t="s">
        <v>55</v>
      </c>
      <c r="AE79" s="3">
        <v>1195</v>
      </c>
      <c r="AF79" s="3">
        <v>2.8</v>
      </c>
      <c r="AG79" s="3">
        <v>279.65833333333302</v>
      </c>
      <c r="AH79" s="3">
        <v>1.95020833333333</v>
      </c>
      <c r="AI79" s="3">
        <v>75.7083333333333</v>
      </c>
      <c r="AJ79" s="3">
        <v>1.21020833333333</v>
      </c>
      <c r="AK79" s="3">
        <v>22.708749999999998</v>
      </c>
      <c r="AL79" s="3">
        <v>53.295416666666704</v>
      </c>
      <c r="AM79" s="3">
        <v>2</v>
      </c>
      <c r="AN79" s="3">
        <v>2</v>
      </c>
      <c r="AO79" s="7">
        <v>0.24791666666666667</v>
      </c>
      <c r="AP79" s="7">
        <v>0.80694444444444446</v>
      </c>
      <c r="AQ79" s="7">
        <v>4.1666666666666666E-3</v>
      </c>
      <c r="AR79" s="7">
        <v>0.50694444444444442</v>
      </c>
      <c r="AS79" s="3" t="s">
        <v>57</v>
      </c>
      <c r="AT79" s="3">
        <v>59</v>
      </c>
      <c r="AU79" s="3">
        <v>0</v>
      </c>
      <c r="AV79" s="3">
        <v>0</v>
      </c>
      <c r="AW79" s="3" t="s">
        <v>58</v>
      </c>
      <c r="AX79" s="3">
        <v>18</v>
      </c>
    </row>
    <row r="80" spans="1:50" ht="12.5" x14ac:dyDescent="0.25">
      <c r="A80" s="3" t="s">
        <v>92</v>
      </c>
      <c r="B80" s="3" t="s">
        <v>93</v>
      </c>
      <c r="C80" s="3" t="s">
        <v>52</v>
      </c>
      <c r="D80" s="3">
        <v>20.966699999999999</v>
      </c>
      <c r="E80" s="3">
        <v>72.900000000000006</v>
      </c>
      <c r="F80" s="3" t="s">
        <v>53</v>
      </c>
      <c r="G80" s="3">
        <v>1750250966</v>
      </c>
      <c r="H80" s="4">
        <f t="shared" ca="1" si="0"/>
        <v>46118.952512962962</v>
      </c>
      <c r="I80" s="5">
        <f t="shared" ca="1" si="1"/>
        <v>46118.952512962962</v>
      </c>
      <c r="J80" s="3">
        <v>1750291200</v>
      </c>
      <c r="K80" s="3">
        <v>27.4</v>
      </c>
      <c r="L80" s="3">
        <v>81.400000000000006</v>
      </c>
      <c r="M80" s="3">
        <v>26.3</v>
      </c>
      <c r="N80" s="3">
        <v>79.3</v>
      </c>
      <c r="O80" s="3">
        <v>27.2</v>
      </c>
      <c r="P80" s="3">
        <v>80.900000000000006</v>
      </c>
      <c r="Q80" s="3">
        <v>19.899999999999999</v>
      </c>
      <c r="R80" s="3">
        <v>32</v>
      </c>
      <c r="S80" s="3">
        <v>51.99</v>
      </c>
      <c r="T80" s="3">
        <v>2.0499999999999998</v>
      </c>
      <c r="U80" s="3">
        <v>0</v>
      </c>
      <c r="V80" s="3">
        <v>8.3000000000000007</v>
      </c>
      <c r="W80" s="3">
        <v>5</v>
      </c>
      <c r="X80" s="3">
        <v>88</v>
      </c>
      <c r="Y80" s="3">
        <v>1</v>
      </c>
      <c r="Z80" s="3">
        <v>93</v>
      </c>
      <c r="AA80" s="3">
        <v>0</v>
      </c>
      <c r="AB80" s="3">
        <v>0</v>
      </c>
      <c r="AC80" s="3" t="s">
        <v>54</v>
      </c>
      <c r="AD80" s="6" t="s">
        <v>55</v>
      </c>
      <c r="AE80" s="3">
        <v>1195</v>
      </c>
      <c r="AF80" s="3">
        <v>0.5</v>
      </c>
      <c r="AG80" s="3">
        <v>233.254166666667</v>
      </c>
      <c r="AH80" s="3">
        <v>1.7266666666666699</v>
      </c>
      <c r="AI80" s="3">
        <v>60.875</v>
      </c>
      <c r="AJ80" s="3">
        <v>1.11770833333333</v>
      </c>
      <c r="AK80" s="3">
        <v>26.87125</v>
      </c>
      <c r="AL80" s="3">
        <v>61.1116666666667</v>
      </c>
      <c r="AM80" s="3">
        <v>2</v>
      </c>
      <c r="AN80" s="3">
        <v>3</v>
      </c>
      <c r="AO80" s="7">
        <v>0.24861111111111112</v>
      </c>
      <c r="AP80" s="7">
        <v>0.80694444444444446</v>
      </c>
      <c r="AQ80" s="7">
        <v>2.8472222222222222E-2</v>
      </c>
      <c r="AR80" s="7">
        <v>0.54722222222222228</v>
      </c>
      <c r="AS80" s="3" t="s">
        <v>59</v>
      </c>
      <c r="AT80" s="3">
        <v>48</v>
      </c>
      <c r="AU80" s="3">
        <v>1</v>
      </c>
      <c r="AV80" s="3">
        <v>0</v>
      </c>
      <c r="AW80" s="3" t="s">
        <v>60</v>
      </c>
      <c r="AX80" s="3">
        <v>19</v>
      </c>
    </row>
    <row r="81" spans="1:50" ht="12.5" x14ac:dyDescent="0.25">
      <c r="A81" s="3" t="s">
        <v>92</v>
      </c>
      <c r="B81" s="3" t="s">
        <v>93</v>
      </c>
      <c r="C81" s="3" t="s">
        <v>52</v>
      </c>
      <c r="D81" s="3">
        <v>20.966699999999999</v>
      </c>
      <c r="E81" s="3">
        <v>72.900000000000006</v>
      </c>
      <c r="F81" s="3" t="s">
        <v>53</v>
      </c>
      <c r="G81" s="3">
        <v>1750250966</v>
      </c>
      <c r="H81" s="4">
        <f t="shared" ca="1" si="0"/>
        <v>46118.952512962962</v>
      </c>
      <c r="I81" s="5">
        <f t="shared" ca="1" si="1"/>
        <v>46118.952512962962</v>
      </c>
      <c r="J81" s="3">
        <v>1750377600</v>
      </c>
      <c r="K81" s="3">
        <v>29.8</v>
      </c>
      <c r="L81" s="3">
        <v>85.6</v>
      </c>
      <c r="M81" s="3">
        <v>27.3</v>
      </c>
      <c r="N81" s="3">
        <v>81.2</v>
      </c>
      <c r="O81" s="3">
        <v>28.4</v>
      </c>
      <c r="P81" s="3">
        <v>83.2</v>
      </c>
      <c r="Q81" s="3">
        <v>16.8</v>
      </c>
      <c r="R81" s="3">
        <v>27</v>
      </c>
      <c r="S81" s="3">
        <v>7.23</v>
      </c>
      <c r="T81" s="3">
        <v>0.28000000000000003</v>
      </c>
      <c r="U81" s="3">
        <v>0</v>
      </c>
      <c r="V81" s="3">
        <v>8.8000000000000007</v>
      </c>
      <c r="W81" s="3">
        <v>5</v>
      </c>
      <c r="X81" s="3">
        <v>81</v>
      </c>
      <c r="Y81" s="3">
        <v>1</v>
      </c>
      <c r="Z81" s="3">
        <v>88</v>
      </c>
      <c r="AA81" s="3">
        <v>0</v>
      </c>
      <c r="AB81" s="3">
        <v>0</v>
      </c>
      <c r="AC81" s="3" t="s">
        <v>61</v>
      </c>
      <c r="AD81" s="6" t="s">
        <v>62</v>
      </c>
      <c r="AE81" s="3">
        <v>1189</v>
      </c>
      <c r="AF81" s="3">
        <v>2.7</v>
      </c>
      <c r="AG81" s="3">
        <v>205.504166666667</v>
      </c>
      <c r="AH81" s="3">
        <v>1.665</v>
      </c>
      <c r="AI81" s="3">
        <v>58.2916666666667</v>
      </c>
      <c r="AJ81" s="3">
        <v>1.0560416666666701</v>
      </c>
      <c r="AK81" s="3">
        <v>22.9091666666667</v>
      </c>
      <c r="AL81" s="3">
        <v>52.694166666666703</v>
      </c>
      <c r="AM81" s="3">
        <v>2</v>
      </c>
      <c r="AN81" s="3">
        <v>2</v>
      </c>
      <c r="AO81" s="7">
        <v>0.24861111111111112</v>
      </c>
      <c r="AP81" s="7">
        <v>0.80763888888888891</v>
      </c>
      <c r="AQ81" s="7">
        <v>5.4166666666666669E-2</v>
      </c>
      <c r="AR81" s="7">
        <v>0.58819444444444446</v>
      </c>
      <c r="AS81" s="3" t="s">
        <v>59</v>
      </c>
      <c r="AT81" s="3">
        <v>37</v>
      </c>
      <c r="AU81" s="3">
        <v>1</v>
      </c>
      <c r="AV81" s="3">
        <v>0</v>
      </c>
      <c r="AW81" s="3" t="s">
        <v>63</v>
      </c>
      <c r="AX81" s="3">
        <v>20</v>
      </c>
    </row>
    <row r="82" spans="1:50" ht="12.5" x14ac:dyDescent="0.25">
      <c r="A82" s="3" t="s">
        <v>92</v>
      </c>
      <c r="B82" s="3" t="s">
        <v>93</v>
      </c>
      <c r="C82" s="3" t="s">
        <v>52</v>
      </c>
      <c r="D82" s="3">
        <v>20.966699999999999</v>
      </c>
      <c r="E82" s="3">
        <v>72.900000000000006</v>
      </c>
      <c r="F82" s="3" t="s">
        <v>53</v>
      </c>
      <c r="G82" s="3">
        <v>1750250966</v>
      </c>
      <c r="H82" s="4">
        <f t="shared" ca="1" si="0"/>
        <v>46118.952512962962</v>
      </c>
      <c r="I82" s="5">
        <f t="shared" ca="1" si="1"/>
        <v>46118.952512962962</v>
      </c>
      <c r="J82" s="3">
        <v>1750464000</v>
      </c>
      <c r="K82" s="3">
        <v>30.9</v>
      </c>
      <c r="L82" s="3">
        <v>87.6</v>
      </c>
      <c r="M82" s="3">
        <v>27.7</v>
      </c>
      <c r="N82" s="3">
        <v>81.8</v>
      </c>
      <c r="O82" s="3">
        <v>29</v>
      </c>
      <c r="P82" s="3">
        <v>84.2</v>
      </c>
      <c r="Q82" s="3">
        <v>16.600000000000001</v>
      </c>
      <c r="R82" s="3">
        <v>26.6</v>
      </c>
      <c r="S82" s="3">
        <v>5.29</v>
      </c>
      <c r="T82" s="3">
        <v>0.21</v>
      </c>
      <c r="U82" s="3">
        <v>0</v>
      </c>
      <c r="V82" s="3">
        <v>9.6</v>
      </c>
      <c r="W82" s="3">
        <v>5</v>
      </c>
      <c r="X82" s="3">
        <v>75</v>
      </c>
      <c r="Y82" s="3">
        <v>1</v>
      </c>
      <c r="Z82" s="3">
        <v>89</v>
      </c>
      <c r="AA82" s="3">
        <v>0</v>
      </c>
      <c r="AB82" s="3">
        <v>0</v>
      </c>
      <c r="AC82" s="3" t="s">
        <v>61</v>
      </c>
      <c r="AD82" s="6" t="s">
        <v>62</v>
      </c>
      <c r="AE82" s="3">
        <v>1189</v>
      </c>
      <c r="AF82" s="3">
        <v>2.7</v>
      </c>
      <c r="AG82" s="3">
        <v>203.34583333333299</v>
      </c>
      <c r="AH82" s="3">
        <v>2.00416666666667</v>
      </c>
      <c r="AI82" s="3">
        <v>57.8333333333333</v>
      </c>
      <c r="AJ82" s="3">
        <v>1.24875</v>
      </c>
      <c r="AK82" s="3">
        <v>23.672291666666698</v>
      </c>
      <c r="AL82" s="3">
        <v>56.98</v>
      </c>
      <c r="AM82" s="3">
        <v>2</v>
      </c>
      <c r="AN82" s="3">
        <v>2</v>
      </c>
      <c r="AO82" s="7">
        <v>0.24861111111111112</v>
      </c>
      <c r="AP82" s="7">
        <v>0.80763888888888891</v>
      </c>
      <c r="AQ82" s="7">
        <v>8.1250000000000003E-2</v>
      </c>
      <c r="AR82" s="7">
        <v>0.63124999999999998</v>
      </c>
      <c r="AS82" s="3" t="s">
        <v>59</v>
      </c>
      <c r="AT82" s="3">
        <v>26</v>
      </c>
      <c r="AU82" s="3">
        <v>1</v>
      </c>
      <c r="AV82" s="3">
        <v>0</v>
      </c>
      <c r="AW82" s="3" t="s">
        <v>66</v>
      </c>
      <c r="AX82" s="3">
        <v>21</v>
      </c>
    </row>
    <row r="83" spans="1:50" ht="12.5" x14ac:dyDescent="0.25">
      <c r="A83" s="3" t="s">
        <v>92</v>
      </c>
      <c r="B83" s="3" t="s">
        <v>93</v>
      </c>
      <c r="C83" s="3" t="s">
        <v>52</v>
      </c>
      <c r="D83" s="3">
        <v>20.966699999999999</v>
      </c>
      <c r="E83" s="3">
        <v>72.900000000000006</v>
      </c>
      <c r="F83" s="3" t="s">
        <v>53</v>
      </c>
      <c r="G83" s="3">
        <v>1750250966</v>
      </c>
      <c r="H83" s="4">
        <f t="shared" ca="1" si="0"/>
        <v>46118.952512962962</v>
      </c>
      <c r="I83" s="5">
        <f t="shared" ca="1" si="1"/>
        <v>46118.952512962962</v>
      </c>
      <c r="J83" s="3">
        <v>1750550400</v>
      </c>
      <c r="K83" s="3">
        <v>30.8</v>
      </c>
      <c r="L83" s="3">
        <v>87.4</v>
      </c>
      <c r="M83" s="3">
        <v>27.6</v>
      </c>
      <c r="N83" s="3">
        <v>81.7</v>
      </c>
      <c r="O83" s="3">
        <v>28.9</v>
      </c>
      <c r="P83" s="3">
        <v>84.1</v>
      </c>
      <c r="Q83" s="3">
        <v>17.899999999999999</v>
      </c>
      <c r="R83" s="3">
        <v>28.8</v>
      </c>
      <c r="S83" s="3">
        <v>6.08</v>
      </c>
      <c r="T83" s="3">
        <v>0.24</v>
      </c>
      <c r="U83" s="3">
        <v>0</v>
      </c>
      <c r="V83" s="3">
        <v>9.4</v>
      </c>
      <c r="W83" s="3">
        <v>5</v>
      </c>
      <c r="X83" s="3">
        <v>74</v>
      </c>
      <c r="Y83" s="3">
        <v>1</v>
      </c>
      <c r="Z83" s="3">
        <v>85</v>
      </c>
      <c r="AA83" s="3">
        <v>0</v>
      </c>
      <c r="AB83" s="3">
        <v>0</v>
      </c>
      <c r="AC83" s="3" t="s">
        <v>61</v>
      </c>
      <c r="AD83" s="6" t="s">
        <v>62</v>
      </c>
      <c r="AE83" s="3">
        <v>1189</v>
      </c>
      <c r="AF83" s="3">
        <v>3.7</v>
      </c>
      <c r="AG83" s="3">
        <v>184.84583333333299</v>
      </c>
      <c r="AH83" s="3">
        <v>1.37208333333333</v>
      </c>
      <c r="AI83" s="3">
        <v>59.9166666666667</v>
      </c>
      <c r="AJ83" s="3">
        <v>1.2949999999999999</v>
      </c>
      <c r="AK83" s="3">
        <v>26.1004166666667</v>
      </c>
      <c r="AL83" s="3">
        <v>64.657499999999999</v>
      </c>
      <c r="AM83" s="3">
        <v>2</v>
      </c>
      <c r="AN83" s="3">
        <v>3</v>
      </c>
      <c r="AO83" s="7">
        <v>0.24861111111111112</v>
      </c>
      <c r="AP83" s="7">
        <v>0.80763888888888891</v>
      </c>
      <c r="AQ83" s="7">
        <v>0.11041666666666666</v>
      </c>
      <c r="AR83" s="7">
        <v>0.67708333333333337</v>
      </c>
      <c r="AS83" s="3" t="s">
        <v>59</v>
      </c>
      <c r="AT83" s="3">
        <v>16</v>
      </c>
      <c r="AU83" s="3">
        <v>1</v>
      </c>
      <c r="AV83" s="3">
        <v>0</v>
      </c>
      <c r="AW83" s="3" t="s">
        <v>69</v>
      </c>
      <c r="AX83" s="3">
        <v>22</v>
      </c>
    </row>
    <row r="84" spans="1:50" ht="12.5" x14ac:dyDescent="0.25">
      <c r="A84" s="3" t="s">
        <v>92</v>
      </c>
      <c r="B84" s="3" t="s">
        <v>93</v>
      </c>
      <c r="C84" s="3" t="s">
        <v>52</v>
      </c>
      <c r="D84" s="3">
        <v>20.966699999999999</v>
      </c>
      <c r="E84" s="3">
        <v>72.900000000000006</v>
      </c>
      <c r="F84" s="3" t="s">
        <v>53</v>
      </c>
      <c r="G84" s="3">
        <v>1750250966</v>
      </c>
      <c r="H84" s="4">
        <f t="shared" ca="1" si="0"/>
        <v>46118.952512962962</v>
      </c>
      <c r="I84" s="5">
        <f t="shared" ca="1" si="1"/>
        <v>46118.952512962962</v>
      </c>
      <c r="J84" s="3">
        <v>1750636800</v>
      </c>
      <c r="K84" s="3">
        <v>29.9</v>
      </c>
      <c r="L84" s="3">
        <v>85.9</v>
      </c>
      <c r="M84" s="3">
        <v>27.5</v>
      </c>
      <c r="N84" s="3">
        <v>81.599999999999994</v>
      </c>
      <c r="O84" s="3">
        <v>28.2</v>
      </c>
      <c r="P84" s="3">
        <v>82.8</v>
      </c>
      <c r="Q84" s="3">
        <v>19.7</v>
      </c>
      <c r="R84" s="3">
        <v>31.7</v>
      </c>
      <c r="S84" s="3">
        <v>3.41</v>
      </c>
      <c r="T84" s="3">
        <v>0.13</v>
      </c>
      <c r="U84" s="3">
        <v>0</v>
      </c>
      <c r="V84" s="3">
        <v>8.1</v>
      </c>
      <c r="W84" s="3">
        <v>5</v>
      </c>
      <c r="X84" s="3">
        <v>79</v>
      </c>
      <c r="Y84" s="3">
        <v>1</v>
      </c>
      <c r="Z84" s="3">
        <v>85</v>
      </c>
      <c r="AA84" s="3">
        <v>0</v>
      </c>
      <c r="AB84" s="3">
        <v>0</v>
      </c>
      <c r="AC84" s="3" t="s">
        <v>64</v>
      </c>
      <c r="AD84" s="6" t="s">
        <v>65</v>
      </c>
      <c r="AE84" s="3">
        <v>1063</v>
      </c>
      <c r="AF84" s="3">
        <v>6</v>
      </c>
      <c r="AO84" s="7">
        <v>0.24861111111111112</v>
      </c>
      <c r="AP84" s="7">
        <v>0.80763888888888891</v>
      </c>
      <c r="AQ84" s="7">
        <v>0.1451388888888889</v>
      </c>
      <c r="AR84" s="7">
        <v>0.72499999999999998</v>
      </c>
      <c r="AS84" s="3" t="s">
        <v>59</v>
      </c>
      <c r="AT84" s="3">
        <v>9</v>
      </c>
      <c r="AU84" s="3">
        <v>1</v>
      </c>
      <c r="AV84" s="3">
        <v>0</v>
      </c>
      <c r="AW84" s="3" t="s">
        <v>70</v>
      </c>
      <c r="AX84" s="3">
        <v>23</v>
      </c>
    </row>
    <row r="85" spans="1:50" ht="12.5" x14ac:dyDescent="0.25">
      <c r="A85" s="3" t="s">
        <v>92</v>
      </c>
      <c r="B85" s="3" t="s">
        <v>93</v>
      </c>
      <c r="C85" s="3" t="s">
        <v>52</v>
      </c>
      <c r="D85" s="3">
        <v>20.966699999999999</v>
      </c>
      <c r="E85" s="3">
        <v>72.900000000000006</v>
      </c>
      <c r="F85" s="3" t="s">
        <v>53</v>
      </c>
      <c r="G85" s="3">
        <v>1750250966</v>
      </c>
      <c r="H85" s="4">
        <f t="shared" ca="1" si="0"/>
        <v>46118.952512962962</v>
      </c>
      <c r="I85" s="5">
        <f t="shared" ca="1" si="1"/>
        <v>46118.952512962962</v>
      </c>
      <c r="J85" s="3">
        <v>1750723200</v>
      </c>
      <c r="K85" s="3">
        <v>29.5</v>
      </c>
      <c r="L85" s="3">
        <v>85.1</v>
      </c>
      <c r="M85" s="3">
        <v>27.4</v>
      </c>
      <c r="N85" s="3">
        <v>81.2</v>
      </c>
      <c r="O85" s="3">
        <v>28.2</v>
      </c>
      <c r="P85" s="3">
        <v>82.8</v>
      </c>
      <c r="Q85" s="3">
        <v>19.2</v>
      </c>
      <c r="R85" s="3">
        <v>31</v>
      </c>
      <c r="S85" s="3">
        <v>6.64</v>
      </c>
      <c r="T85" s="3">
        <v>0.26</v>
      </c>
      <c r="U85" s="3">
        <v>0</v>
      </c>
      <c r="V85" s="3">
        <v>9.4</v>
      </c>
      <c r="W85" s="3">
        <v>5</v>
      </c>
      <c r="X85" s="3">
        <v>81</v>
      </c>
      <c r="Y85" s="3">
        <v>1</v>
      </c>
      <c r="Z85" s="3">
        <v>85</v>
      </c>
      <c r="AA85" s="3">
        <v>0</v>
      </c>
      <c r="AB85" s="3">
        <v>0</v>
      </c>
      <c r="AC85" s="3" t="s">
        <v>61</v>
      </c>
      <c r="AD85" s="6" t="s">
        <v>62</v>
      </c>
      <c r="AE85" s="3">
        <v>1189</v>
      </c>
      <c r="AF85" s="3">
        <v>6</v>
      </c>
      <c r="AO85" s="7">
        <v>0.24930555555555556</v>
      </c>
      <c r="AP85" s="7">
        <v>0.80763888888888891</v>
      </c>
      <c r="AQ85" s="7">
        <v>0.18333333333333332</v>
      </c>
      <c r="AR85" s="7">
        <v>0.77222222222222225</v>
      </c>
      <c r="AS85" s="3" t="s">
        <v>59</v>
      </c>
      <c r="AT85" s="3">
        <v>3</v>
      </c>
      <c r="AU85" s="3">
        <v>1</v>
      </c>
      <c r="AV85" s="3">
        <v>0</v>
      </c>
      <c r="AW85" s="3" t="s">
        <v>71</v>
      </c>
      <c r="AX85" s="3">
        <v>24</v>
      </c>
    </row>
    <row r="86" spans="1:50" ht="12.5" x14ac:dyDescent="0.25">
      <c r="A86" s="3" t="s">
        <v>94</v>
      </c>
      <c r="B86" s="3" t="s">
        <v>95</v>
      </c>
      <c r="C86" s="3" t="s">
        <v>52</v>
      </c>
      <c r="D86" s="3">
        <v>23.2667</v>
      </c>
      <c r="E86" s="3">
        <v>77.400000000000006</v>
      </c>
      <c r="F86" s="3" t="s">
        <v>53</v>
      </c>
      <c r="G86" s="3">
        <v>1750250999</v>
      </c>
      <c r="H86" s="4">
        <f t="shared" ca="1" si="0"/>
        <v>46118.952512962962</v>
      </c>
      <c r="I86" s="5">
        <f t="shared" ca="1" si="1"/>
        <v>46118.952512962962</v>
      </c>
      <c r="J86" s="3">
        <v>1750204800</v>
      </c>
      <c r="K86" s="3">
        <v>32.799999999999997</v>
      </c>
      <c r="L86" s="3">
        <v>91</v>
      </c>
      <c r="M86" s="3">
        <v>26.9</v>
      </c>
      <c r="N86" s="3">
        <v>80.400000000000006</v>
      </c>
      <c r="O86" s="3">
        <v>29.9</v>
      </c>
      <c r="P86" s="3">
        <v>85.8</v>
      </c>
      <c r="Q86" s="3">
        <v>15.7</v>
      </c>
      <c r="R86" s="3">
        <v>25.2</v>
      </c>
      <c r="S86" s="3">
        <v>0.19</v>
      </c>
      <c r="T86" s="3">
        <v>0.01</v>
      </c>
      <c r="U86" s="3">
        <v>0</v>
      </c>
      <c r="V86" s="3">
        <v>10</v>
      </c>
      <c r="W86" s="3">
        <v>6</v>
      </c>
      <c r="X86" s="3">
        <v>58</v>
      </c>
      <c r="Y86" s="3">
        <v>1</v>
      </c>
      <c r="Z86" s="3">
        <v>88</v>
      </c>
      <c r="AA86" s="3">
        <v>0</v>
      </c>
      <c r="AB86" s="3">
        <v>0</v>
      </c>
      <c r="AC86" s="3" t="s">
        <v>64</v>
      </c>
      <c r="AD86" s="6" t="s">
        <v>65</v>
      </c>
      <c r="AE86" s="3">
        <v>1063</v>
      </c>
      <c r="AF86" s="3">
        <v>2.2000000000000002</v>
      </c>
      <c r="AG86" s="3">
        <v>375.01041666666703</v>
      </c>
      <c r="AH86" s="3">
        <v>6.7293750000000001</v>
      </c>
      <c r="AI86" s="3">
        <v>78.6666666666667</v>
      </c>
      <c r="AJ86" s="3">
        <v>7.2843749999999998</v>
      </c>
      <c r="AK86" s="3">
        <v>19.178333333333299</v>
      </c>
      <c r="AL86" s="3">
        <v>29.0372916666667</v>
      </c>
      <c r="AM86" s="3">
        <v>2</v>
      </c>
      <c r="AN86" s="3">
        <v>2</v>
      </c>
      <c r="AO86" s="7">
        <v>0.2326388888888889</v>
      </c>
      <c r="AP86" s="7">
        <v>0.79791666666666672</v>
      </c>
      <c r="AQ86" s="3" t="s">
        <v>56</v>
      </c>
      <c r="AR86" s="7">
        <v>0.49375000000000002</v>
      </c>
      <c r="AS86" s="3" t="s">
        <v>57</v>
      </c>
      <c r="AT86" s="3">
        <v>59</v>
      </c>
      <c r="AU86" s="3">
        <v>1</v>
      </c>
      <c r="AV86" s="3">
        <v>0</v>
      </c>
      <c r="AW86" s="3" t="s">
        <v>58</v>
      </c>
      <c r="AX86" s="3">
        <v>18</v>
      </c>
    </row>
    <row r="87" spans="1:50" ht="12.5" x14ac:dyDescent="0.25">
      <c r="A87" s="3" t="s">
        <v>94</v>
      </c>
      <c r="B87" s="3" t="s">
        <v>95</v>
      </c>
      <c r="C87" s="3" t="s">
        <v>52</v>
      </c>
      <c r="D87" s="3">
        <v>23.2667</v>
      </c>
      <c r="E87" s="3">
        <v>77.400000000000006</v>
      </c>
      <c r="F87" s="3" t="s">
        <v>53</v>
      </c>
      <c r="G87" s="3">
        <v>1750250999</v>
      </c>
      <c r="H87" s="4">
        <f t="shared" ca="1" si="0"/>
        <v>46118.952512962962</v>
      </c>
      <c r="I87" s="5">
        <f t="shared" ca="1" si="1"/>
        <v>46118.952512962962</v>
      </c>
      <c r="J87" s="3">
        <v>1750291200</v>
      </c>
      <c r="K87" s="3">
        <v>30.3</v>
      </c>
      <c r="L87" s="3">
        <v>86.6</v>
      </c>
      <c r="M87" s="3">
        <v>26.3</v>
      </c>
      <c r="N87" s="3">
        <v>79.3</v>
      </c>
      <c r="O87" s="3">
        <v>27.8</v>
      </c>
      <c r="P87" s="3">
        <v>82</v>
      </c>
      <c r="Q87" s="3">
        <v>18.3</v>
      </c>
      <c r="R87" s="3">
        <v>29.5</v>
      </c>
      <c r="S87" s="3">
        <v>7.95</v>
      </c>
      <c r="T87" s="3">
        <v>0.31</v>
      </c>
      <c r="U87" s="3">
        <v>0</v>
      </c>
      <c r="V87" s="3">
        <v>10</v>
      </c>
      <c r="W87" s="3">
        <v>6</v>
      </c>
      <c r="X87" s="3">
        <v>71</v>
      </c>
      <c r="Y87" s="3">
        <v>1</v>
      </c>
      <c r="Z87" s="3">
        <v>87</v>
      </c>
      <c r="AA87" s="3">
        <v>0</v>
      </c>
      <c r="AB87" s="3">
        <v>0</v>
      </c>
      <c r="AC87" s="3" t="s">
        <v>61</v>
      </c>
      <c r="AD87" s="6" t="s">
        <v>62</v>
      </c>
      <c r="AE87" s="3">
        <v>1189</v>
      </c>
      <c r="AF87" s="3">
        <v>1.7</v>
      </c>
      <c r="AG87" s="3">
        <v>379.558333333333</v>
      </c>
      <c r="AH87" s="3">
        <v>10.6220833333333</v>
      </c>
      <c r="AI87" s="3">
        <v>74.5833333333333</v>
      </c>
      <c r="AJ87" s="3">
        <v>8.5177083333333297</v>
      </c>
      <c r="AK87" s="3">
        <v>29.7002083333333</v>
      </c>
      <c r="AL87" s="3">
        <v>45.2864583333333</v>
      </c>
      <c r="AM87" s="3">
        <v>2</v>
      </c>
      <c r="AN87" s="3">
        <v>3</v>
      </c>
      <c r="AO87" s="7">
        <v>0.2326388888888889</v>
      </c>
      <c r="AP87" s="7">
        <v>0.79791666666666672</v>
      </c>
      <c r="AQ87" s="7">
        <v>1.5972222222222221E-2</v>
      </c>
      <c r="AR87" s="7">
        <v>0.53402777777777777</v>
      </c>
      <c r="AS87" s="3" t="s">
        <v>59</v>
      </c>
      <c r="AT87" s="3">
        <v>48</v>
      </c>
      <c r="AU87" s="3">
        <v>1</v>
      </c>
      <c r="AV87" s="3">
        <v>0</v>
      </c>
      <c r="AW87" s="3" t="s">
        <v>60</v>
      </c>
      <c r="AX87" s="3">
        <v>19</v>
      </c>
    </row>
    <row r="88" spans="1:50" ht="12.5" x14ac:dyDescent="0.25">
      <c r="A88" s="3" t="s">
        <v>94</v>
      </c>
      <c r="B88" s="3" t="s">
        <v>95</v>
      </c>
      <c r="C88" s="3" t="s">
        <v>52</v>
      </c>
      <c r="D88" s="3">
        <v>23.2667</v>
      </c>
      <c r="E88" s="3">
        <v>77.400000000000006</v>
      </c>
      <c r="F88" s="3" t="s">
        <v>53</v>
      </c>
      <c r="G88" s="3">
        <v>1750250999</v>
      </c>
      <c r="H88" s="4">
        <f t="shared" ca="1" si="0"/>
        <v>46118.952512962962</v>
      </c>
      <c r="I88" s="5">
        <f t="shared" ca="1" si="1"/>
        <v>46118.952512962962</v>
      </c>
      <c r="J88" s="3">
        <v>1750377600</v>
      </c>
      <c r="K88" s="3">
        <v>24.8</v>
      </c>
      <c r="L88" s="3">
        <v>76.7</v>
      </c>
      <c r="M88" s="3">
        <v>24</v>
      </c>
      <c r="N88" s="3">
        <v>75.2</v>
      </c>
      <c r="O88" s="3">
        <v>24.6</v>
      </c>
      <c r="P88" s="3">
        <v>76.3</v>
      </c>
      <c r="Q88" s="3">
        <v>12.8</v>
      </c>
      <c r="R88" s="3">
        <v>20.5</v>
      </c>
      <c r="S88" s="3">
        <v>33.44</v>
      </c>
      <c r="T88" s="3">
        <v>1.32</v>
      </c>
      <c r="U88" s="3">
        <v>0</v>
      </c>
      <c r="V88" s="3">
        <v>9.3000000000000007</v>
      </c>
      <c r="W88" s="3">
        <v>5</v>
      </c>
      <c r="X88" s="3">
        <v>87</v>
      </c>
      <c r="Y88" s="3">
        <v>1</v>
      </c>
      <c r="Z88" s="3">
        <v>82</v>
      </c>
      <c r="AA88" s="3">
        <v>0</v>
      </c>
      <c r="AB88" s="3">
        <v>0</v>
      </c>
      <c r="AC88" s="3" t="s">
        <v>54</v>
      </c>
      <c r="AD88" s="6" t="s">
        <v>55</v>
      </c>
      <c r="AE88" s="3">
        <v>1195</v>
      </c>
      <c r="AF88" s="3">
        <v>0.3</v>
      </c>
      <c r="AG88" s="3">
        <v>371.54166666666703</v>
      </c>
      <c r="AH88" s="3">
        <v>11.863125</v>
      </c>
      <c r="AI88" s="3">
        <v>62.125</v>
      </c>
      <c r="AJ88" s="3">
        <v>8.5408333333333299</v>
      </c>
      <c r="AK88" s="3">
        <v>35.89</v>
      </c>
      <c r="AL88" s="3">
        <v>59.685625000000002</v>
      </c>
      <c r="AM88" s="3">
        <v>2</v>
      </c>
      <c r="AN88" s="3">
        <v>3</v>
      </c>
      <c r="AO88" s="7">
        <v>0.2326388888888889</v>
      </c>
      <c r="AP88" s="7">
        <v>0.79791666666666672</v>
      </c>
      <c r="AQ88" s="7">
        <v>4.027777777777778E-2</v>
      </c>
      <c r="AR88" s="7">
        <v>0.57638888888888884</v>
      </c>
      <c r="AS88" s="3" t="s">
        <v>59</v>
      </c>
      <c r="AT88" s="3">
        <v>37</v>
      </c>
      <c r="AU88" s="3">
        <v>1</v>
      </c>
      <c r="AV88" s="3">
        <v>0</v>
      </c>
      <c r="AW88" s="3" t="s">
        <v>63</v>
      </c>
      <c r="AX88" s="3">
        <v>20</v>
      </c>
    </row>
    <row r="89" spans="1:50" ht="12.5" x14ac:dyDescent="0.25">
      <c r="A89" s="3" t="s">
        <v>94</v>
      </c>
      <c r="B89" s="3" t="s">
        <v>95</v>
      </c>
      <c r="C89" s="3" t="s">
        <v>52</v>
      </c>
      <c r="D89" s="3">
        <v>23.2667</v>
      </c>
      <c r="E89" s="3">
        <v>77.400000000000006</v>
      </c>
      <c r="F89" s="3" t="s">
        <v>53</v>
      </c>
      <c r="G89" s="3">
        <v>1750250999</v>
      </c>
      <c r="H89" s="4">
        <f t="shared" ca="1" si="0"/>
        <v>46118.952512962962</v>
      </c>
      <c r="I89" s="5">
        <f t="shared" ca="1" si="1"/>
        <v>46118.952512962962</v>
      </c>
      <c r="J89" s="3">
        <v>1750464000</v>
      </c>
      <c r="K89" s="3">
        <v>30.3</v>
      </c>
      <c r="L89" s="3">
        <v>86.5</v>
      </c>
      <c r="M89" s="3">
        <v>24.7</v>
      </c>
      <c r="N89" s="3">
        <v>76.5</v>
      </c>
      <c r="O89" s="3">
        <v>27</v>
      </c>
      <c r="P89" s="3">
        <v>80.7</v>
      </c>
      <c r="Q89" s="3">
        <v>12.3</v>
      </c>
      <c r="R89" s="3">
        <v>19.8</v>
      </c>
      <c r="S89" s="3">
        <v>3.52</v>
      </c>
      <c r="T89" s="3">
        <v>0.14000000000000001</v>
      </c>
      <c r="U89" s="3">
        <v>0</v>
      </c>
      <c r="V89" s="3">
        <v>9.6</v>
      </c>
      <c r="W89" s="3">
        <v>5</v>
      </c>
      <c r="X89" s="3">
        <v>73</v>
      </c>
      <c r="Y89" s="3">
        <v>1</v>
      </c>
      <c r="Z89" s="3">
        <v>89</v>
      </c>
      <c r="AA89" s="3">
        <v>0</v>
      </c>
      <c r="AB89" s="3">
        <v>0</v>
      </c>
      <c r="AC89" s="3" t="s">
        <v>64</v>
      </c>
      <c r="AD89" s="6" t="s">
        <v>65</v>
      </c>
      <c r="AE89" s="3">
        <v>1063</v>
      </c>
      <c r="AF89" s="3">
        <v>1.4</v>
      </c>
      <c r="AG89" s="3">
        <v>425.191666666667</v>
      </c>
      <c r="AH89" s="3">
        <v>10.228958333333299</v>
      </c>
      <c r="AI89" s="3">
        <v>62.5</v>
      </c>
      <c r="AJ89" s="3">
        <v>7.9010416666666696</v>
      </c>
      <c r="AK89" s="3">
        <v>26.069583333333298</v>
      </c>
      <c r="AL89" s="3">
        <v>33.67</v>
      </c>
      <c r="AM89" s="3">
        <v>2</v>
      </c>
      <c r="AN89" s="3">
        <v>3</v>
      </c>
      <c r="AO89" s="7">
        <v>0.2326388888888889</v>
      </c>
      <c r="AP89" s="7">
        <v>0.79791666666666672</v>
      </c>
      <c r="AQ89" s="7">
        <v>6.6666666666666666E-2</v>
      </c>
      <c r="AR89" s="7">
        <v>0.62083333333333335</v>
      </c>
      <c r="AS89" s="3" t="s">
        <v>59</v>
      </c>
      <c r="AT89" s="3">
        <v>26</v>
      </c>
      <c r="AU89" s="3">
        <v>1</v>
      </c>
      <c r="AV89" s="3">
        <v>0</v>
      </c>
      <c r="AW89" s="3" t="s">
        <v>66</v>
      </c>
      <c r="AX89" s="3">
        <v>21</v>
      </c>
    </row>
    <row r="90" spans="1:50" ht="12.5" x14ac:dyDescent="0.25">
      <c r="A90" s="3" t="s">
        <v>94</v>
      </c>
      <c r="B90" s="3" t="s">
        <v>95</v>
      </c>
      <c r="C90" s="3" t="s">
        <v>52</v>
      </c>
      <c r="D90" s="3">
        <v>23.2667</v>
      </c>
      <c r="E90" s="3">
        <v>77.400000000000006</v>
      </c>
      <c r="F90" s="3" t="s">
        <v>53</v>
      </c>
      <c r="G90" s="3">
        <v>1750250999</v>
      </c>
      <c r="H90" s="4">
        <f t="shared" ca="1" si="0"/>
        <v>46118.952512962962</v>
      </c>
      <c r="I90" s="5">
        <f t="shared" ca="1" si="1"/>
        <v>46118.952512962962</v>
      </c>
      <c r="J90" s="3">
        <v>1750550400</v>
      </c>
      <c r="K90" s="3">
        <v>32.4</v>
      </c>
      <c r="L90" s="3">
        <v>90.3</v>
      </c>
      <c r="M90" s="3">
        <v>25.6</v>
      </c>
      <c r="N90" s="3">
        <v>78.099999999999994</v>
      </c>
      <c r="O90" s="3">
        <v>28.8</v>
      </c>
      <c r="P90" s="3">
        <v>83.9</v>
      </c>
      <c r="Q90" s="3">
        <v>13.4</v>
      </c>
      <c r="R90" s="3">
        <v>21.6</v>
      </c>
      <c r="S90" s="3">
        <v>0.03</v>
      </c>
      <c r="T90" s="3">
        <v>0</v>
      </c>
      <c r="U90" s="3">
        <v>0</v>
      </c>
      <c r="V90" s="3">
        <v>10</v>
      </c>
      <c r="W90" s="3">
        <v>6</v>
      </c>
      <c r="X90" s="3">
        <v>62</v>
      </c>
      <c r="Y90" s="3">
        <v>0</v>
      </c>
      <c r="Z90" s="3">
        <v>0</v>
      </c>
      <c r="AA90" s="3">
        <v>0</v>
      </c>
      <c r="AB90" s="3">
        <v>0</v>
      </c>
      <c r="AC90" s="3" t="s">
        <v>67</v>
      </c>
      <c r="AD90" s="6" t="s">
        <v>68</v>
      </c>
      <c r="AE90" s="3">
        <v>1003</v>
      </c>
      <c r="AF90" s="3">
        <v>2.7</v>
      </c>
      <c r="AG90" s="3">
        <v>287.82916666666699</v>
      </c>
      <c r="AH90" s="3">
        <v>5.0720833333333299</v>
      </c>
      <c r="AI90" s="3">
        <v>67.6666666666667</v>
      </c>
      <c r="AJ90" s="3">
        <v>6.3362499999999997</v>
      </c>
      <c r="AK90" s="3">
        <v>20.504166666666698</v>
      </c>
      <c r="AL90" s="3">
        <v>35.489166666666698</v>
      </c>
      <c r="AM90" s="3">
        <v>2</v>
      </c>
      <c r="AN90" s="3">
        <v>2</v>
      </c>
      <c r="AO90" s="7">
        <v>0.23333333333333334</v>
      </c>
      <c r="AP90" s="7">
        <v>0.79861111111111116</v>
      </c>
      <c r="AQ90" s="7">
        <v>9.5138888888888884E-2</v>
      </c>
      <c r="AR90" s="7">
        <v>0.66736111111111107</v>
      </c>
      <c r="AS90" s="3" t="s">
        <v>59</v>
      </c>
      <c r="AT90" s="3">
        <v>16</v>
      </c>
      <c r="AU90" s="3">
        <v>1</v>
      </c>
      <c r="AV90" s="3">
        <v>0</v>
      </c>
      <c r="AW90" s="3" t="s">
        <v>69</v>
      </c>
      <c r="AX90" s="3">
        <v>22</v>
      </c>
    </row>
    <row r="91" spans="1:50" ht="12.5" x14ac:dyDescent="0.25">
      <c r="A91" s="3" t="s">
        <v>94</v>
      </c>
      <c r="B91" s="3" t="s">
        <v>95</v>
      </c>
      <c r="C91" s="3" t="s">
        <v>52</v>
      </c>
      <c r="D91" s="3">
        <v>23.2667</v>
      </c>
      <c r="E91" s="3">
        <v>77.400000000000006</v>
      </c>
      <c r="F91" s="3" t="s">
        <v>53</v>
      </c>
      <c r="G91" s="3">
        <v>1750250999</v>
      </c>
      <c r="H91" s="4">
        <f t="shared" ca="1" si="0"/>
        <v>46118.952512962962</v>
      </c>
      <c r="I91" s="5">
        <f t="shared" ca="1" si="1"/>
        <v>46118.952512962962</v>
      </c>
      <c r="J91" s="3">
        <v>1750636800</v>
      </c>
      <c r="K91" s="3">
        <v>29.3</v>
      </c>
      <c r="L91" s="3">
        <v>84.7</v>
      </c>
      <c r="M91" s="3">
        <v>25.8</v>
      </c>
      <c r="N91" s="3">
        <v>78.400000000000006</v>
      </c>
      <c r="O91" s="3">
        <v>27.4</v>
      </c>
      <c r="P91" s="3">
        <v>81.3</v>
      </c>
      <c r="Q91" s="3">
        <v>15.9</v>
      </c>
      <c r="R91" s="3">
        <v>25.6</v>
      </c>
      <c r="S91" s="3">
        <v>0.03</v>
      </c>
      <c r="T91" s="3">
        <v>0</v>
      </c>
      <c r="U91" s="3">
        <v>0</v>
      </c>
      <c r="V91" s="3">
        <v>10</v>
      </c>
      <c r="W91" s="3">
        <v>6</v>
      </c>
      <c r="X91" s="3">
        <v>67</v>
      </c>
      <c r="Y91" s="3">
        <v>0</v>
      </c>
      <c r="Z91" s="3">
        <v>0</v>
      </c>
      <c r="AA91" s="3">
        <v>0</v>
      </c>
      <c r="AB91" s="3">
        <v>0</v>
      </c>
      <c r="AC91" s="3" t="s">
        <v>67</v>
      </c>
      <c r="AD91" s="6" t="s">
        <v>68</v>
      </c>
      <c r="AE91" s="3">
        <v>1003</v>
      </c>
      <c r="AF91" s="3">
        <v>7</v>
      </c>
      <c r="AO91" s="7">
        <v>0.23333333333333334</v>
      </c>
      <c r="AP91" s="7">
        <v>0.79861111111111116</v>
      </c>
      <c r="AQ91" s="7">
        <v>0.12847222222222221</v>
      </c>
      <c r="AR91" s="7">
        <v>0.71597222222222223</v>
      </c>
      <c r="AS91" s="3" t="s">
        <v>59</v>
      </c>
      <c r="AT91" s="3">
        <v>9</v>
      </c>
      <c r="AU91" s="3">
        <v>1</v>
      </c>
      <c r="AV91" s="3">
        <v>0</v>
      </c>
      <c r="AW91" s="3" t="s">
        <v>70</v>
      </c>
      <c r="AX91" s="3">
        <v>23</v>
      </c>
    </row>
    <row r="92" spans="1:50" ht="12.5" x14ac:dyDescent="0.25">
      <c r="A92" s="3" t="s">
        <v>94</v>
      </c>
      <c r="B92" s="3" t="s">
        <v>95</v>
      </c>
      <c r="C92" s="3" t="s">
        <v>52</v>
      </c>
      <c r="D92" s="3">
        <v>23.2667</v>
      </c>
      <c r="E92" s="3">
        <v>77.400000000000006</v>
      </c>
      <c r="F92" s="3" t="s">
        <v>53</v>
      </c>
      <c r="G92" s="3">
        <v>1750250999</v>
      </c>
      <c r="H92" s="4">
        <f t="shared" ca="1" si="0"/>
        <v>46118.952512962962</v>
      </c>
      <c r="I92" s="5">
        <f t="shared" ca="1" si="1"/>
        <v>46118.952512962962</v>
      </c>
      <c r="J92" s="3">
        <v>1750723200</v>
      </c>
      <c r="K92" s="3">
        <v>30.6</v>
      </c>
      <c r="L92" s="3">
        <v>87.1</v>
      </c>
      <c r="M92" s="3">
        <v>25.4</v>
      </c>
      <c r="N92" s="3">
        <v>77.599999999999994</v>
      </c>
      <c r="O92" s="3">
        <v>27.7</v>
      </c>
      <c r="P92" s="3">
        <v>81.900000000000006</v>
      </c>
      <c r="Q92" s="3">
        <v>17.2</v>
      </c>
      <c r="R92" s="3">
        <v>27.7</v>
      </c>
      <c r="S92" s="3">
        <v>3.07</v>
      </c>
      <c r="T92" s="3">
        <v>0.12</v>
      </c>
      <c r="U92" s="3">
        <v>0</v>
      </c>
      <c r="V92" s="3">
        <v>10</v>
      </c>
      <c r="W92" s="3">
        <v>6</v>
      </c>
      <c r="X92" s="3">
        <v>67</v>
      </c>
      <c r="Y92" s="3">
        <v>1</v>
      </c>
      <c r="Z92" s="3">
        <v>89</v>
      </c>
      <c r="AA92" s="3">
        <v>0</v>
      </c>
      <c r="AB92" s="3">
        <v>0</v>
      </c>
      <c r="AC92" s="3" t="s">
        <v>64</v>
      </c>
      <c r="AD92" s="6" t="s">
        <v>65</v>
      </c>
      <c r="AE92" s="3">
        <v>1063</v>
      </c>
      <c r="AF92" s="3">
        <v>6</v>
      </c>
      <c r="AO92" s="7">
        <v>0.23333333333333334</v>
      </c>
      <c r="AP92" s="7">
        <v>0.79861111111111116</v>
      </c>
      <c r="AQ92" s="7">
        <v>0.16666666666666666</v>
      </c>
      <c r="AR92" s="7">
        <v>0.76388888888888884</v>
      </c>
      <c r="AS92" s="3" t="s">
        <v>59</v>
      </c>
      <c r="AT92" s="3">
        <v>3</v>
      </c>
      <c r="AU92" s="3">
        <v>1</v>
      </c>
      <c r="AV92" s="3">
        <v>0</v>
      </c>
      <c r="AW92" s="3" t="s">
        <v>71</v>
      </c>
      <c r="AX92" s="3">
        <v>24</v>
      </c>
    </row>
  </sheetData>
  <hyperlinks>
    <hyperlink ref="AG1" r:id="rId1" xr:uid="{00000000-0004-0000-0000-000000000000}"/>
    <hyperlink ref="AD2" r:id="rId2" xr:uid="{00000000-0004-0000-0000-000001000000}"/>
    <hyperlink ref="AD3" r:id="rId3" xr:uid="{00000000-0004-0000-0000-000002000000}"/>
    <hyperlink ref="AD4" r:id="rId4" xr:uid="{00000000-0004-0000-0000-000003000000}"/>
    <hyperlink ref="AD5" r:id="rId5" xr:uid="{00000000-0004-0000-0000-000004000000}"/>
    <hyperlink ref="AD6" r:id="rId6" xr:uid="{00000000-0004-0000-0000-000005000000}"/>
    <hyperlink ref="AD7" r:id="rId7" xr:uid="{00000000-0004-0000-0000-000006000000}"/>
    <hyperlink ref="AD8" r:id="rId8" xr:uid="{00000000-0004-0000-0000-000007000000}"/>
    <hyperlink ref="AD9" r:id="rId9" xr:uid="{00000000-0004-0000-0000-000008000000}"/>
    <hyperlink ref="AD10" r:id="rId10" xr:uid="{00000000-0004-0000-0000-000009000000}"/>
    <hyperlink ref="AD11" r:id="rId11" xr:uid="{00000000-0004-0000-0000-00000A000000}"/>
    <hyperlink ref="AD12" r:id="rId12" xr:uid="{00000000-0004-0000-0000-00000B000000}"/>
    <hyperlink ref="AD13" r:id="rId13" xr:uid="{00000000-0004-0000-0000-00000C000000}"/>
    <hyperlink ref="AD14" r:id="rId14" xr:uid="{00000000-0004-0000-0000-00000D000000}"/>
    <hyperlink ref="AD15" r:id="rId15" xr:uid="{00000000-0004-0000-0000-00000E000000}"/>
    <hyperlink ref="AD16" r:id="rId16" xr:uid="{00000000-0004-0000-0000-00000F000000}"/>
    <hyperlink ref="AD17" r:id="rId17" xr:uid="{00000000-0004-0000-0000-000010000000}"/>
    <hyperlink ref="AD18" r:id="rId18" xr:uid="{00000000-0004-0000-0000-000011000000}"/>
    <hyperlink ref="AD19" r:id="rId19" xr:uid="{00000000-0004-0000-0000-000012000000}"/>
    <hyperlink ref="AD20" r:id="rId20" xr:uid="{00000000-0004-0000-0000-000013000000}"/>
    <hyperlink ref="AD21" r:id="rId21" xr:uid="{00000000-0004-0000-0000-000014000000}"/>
    <hyperlink ref="AD22" r:id="rId22" xr:uid="{00000000-0004-0000-0000-000015000000}"/>
    <hyperlink ref="AD23" r:id="rId23" xr:uid="{00000000-0004-0000-0000-000016000000}"/>
    <hyperlink ref="AD24" r:id="rId24" xr:uid="{00000000-0004-0000-0000-000017000000}"/>
    <hyperlink ref="AD25" r:id="rId25" xr:uid="{00000000-0004-0000-0000-000018000000}"/>
    <hyperlink ref="AD26" r:id="rId26" xr:uid="{00000000-0004-0000-0000-000019000000}"/>
    <hyperlink ref="AD27" r:id="rId27" xr:uid="{00000000-0004-0000-0000-00001A000000}"/>
    <hyperlink ref="AD28" r:id="rId28" xr:uid="{00000000-0004-0000-0000-00001B000000}"/>
    <hyperlink ref="AD29" r:id="rId29" xr:uid="{00000000-0004-0000-0000-00001C000000}"/>
    <hyperlink ref="AD30" r:id="rId30" xr:uid="{00000000-0004-0000-0000-00001D000000}"/>
    <hyperlink ref="AD31" r:id="rId31" xr:uid="{00000000-0004-0000-0000-00001E000000}"/>
    <hyperlink ref="AD32" r:id="rId32" xr:uid="{00000000-0004-0000-0000-00001F000000}"/>
    <hyperlink ref="AD33" r:id="rId33" xr:uid="{00000000-0004-0000-0000-000020000000}"/>
    <hyperlink ref="AD34" r:id="rId34" xr:uid="{00000000-0004-0000-0000-000021000000}"/>
    <hyperlink ref="AD35" r:id="rId35" xr:uid="{00000000-0004-0000-0000-000022000000}"/>
    <hyperlink ref="AD36" r:id="rId36" xr:uid="{00000000-0004-0000-0000-000023000000}"/>
    <hyperlink ref="AD37" r:id="rId37" xr:uid="{00000000-0004-0000-0000-000024000000}"/>
    <hyperlink ref="AD38" r:id="rId38" xr:uid="{00000000-0004-0000-0000-000025000000}"/>
    <hyperlink ref="AD39" r:id="rId39" xr:uid="{00000000-0004-0000-0000-000026000000}"/>
    <hyperlink ref="AD40" r:id="rId40" xr:uid="{00000000-0004-0000-0000-000027000000}"/>
    <hyperlink ref="AD41" r:id="rId41" xr:uid="{00000000-0004-0000-0000-000028000000}"/>
    <hyperlink ref="AD42" r:id="rId42" xr:uid="{00000000-0004-0000-0000-000029000000}"/>
    <hyperlink ref="AD43" r:id="rId43" xr:uid="{00000000-0004-0000-0000-00002A000000}"/>
    <hyperlink ref="AD44" r:id="rId44" xr:uid="{00000000-0004-0000-0000-00002B000000}"/>
    <hyperlink ref="AD45" r:id="rId45" xr:uid="{00000000-0004-0000-0000-00002C000000}"/>
    <hyperlink ref="AD46" r:id="rId46" xr:uid="{00000000-0004-0000-0000-00002D000000}"/>
    <hyperlink ref="AD47" r:id="rId47" xr:uid="{00000000-0004-0000-0000-00002E000000}"/>
    <hyperlink ref="AD48" r:id="rId48" xr:uid="{00000000-0004-0000-0000-00002F000000}"/>
    <hyperlink ref="AD49" r:id="rId49" xr:uid="{00000000-0004-0000-0000-000030000000}"/>
    <hyperlink ref="AD50" r:id="rId50" xr:uid="{00000000-0004-0000-0000-000031000000}"/>
    <hyperlink ref="AD51" r:id="rId51" xr:uid="{00000000-0004-0000-0000-000032000000}"/>
    <hyperlink ref="AD52" r:id="rId52" xr:uid="{00000000-0004-0000-0000-000033000000}"/>
    <hyperlink ref="AD53" r:id="rId53" xr:uid="{00000000-0004-0000-0000-000034000000}"/>
    <hyperlink ref="AD54" r:id="rId54" xr:uid="{00000000-0004-0000-0000-000035000000}"/>
    <hyperlink ref="AD55" r:id="rId55" xr:uid="{00000000-0004-0000-0000-000036000000}"/>
    <hyperlink ref="AD56" r:id="rId56" xr:uid="{00000000-0004-0000-0000-000037000000}"/>
    <hyperlink ref="AD57" r:id="rId57" xr:uid="{00000000-0004-0000-0000-000038000000}"/>
    <hyperlink ref="AD58" r:id="rId58" xr:uid="{00000000-0004-0000-0000-000039000000}"/>
    <hyperlink ref="AD59" r:id="rId59" xr:uid="{00000000-0004-0000-0000-00003A000000}"/>
    <hyperlink ref="AD60" r:id="rId60" xr:uid="{00000000-0004-0000-0000-00003B000000}"/>
    <hyperlink ref="AD61" r:id="rId61" xr:uid="{00000000-0004-0000-0000-00003C000000}"/>
    <hyperlink ref="AD62" r:id="rId62" xr:uid="{00000000-0004-0000-0000-00003D000000}"/>
    <hyperlink ref="AD63" r:id="rId63" xr:uid="{00000000-0004-0000-0000-00003E000000}"/>
    <hyperlink ref="AD64" r:id="rId64" xr:uid="{00000000-0004-0000-0000-00003F000000}"/>
    <hyperlink ref="AD65" r:id="rId65" xr:uid="{00000000-0004-0000-0000-000040000000}"/>
    <hyperlink ref="AD66" r:id="rId66" xr:uid="{00000000-0004-0000-0000-000041000000}"/>
    <hyperlink ref="AD67" r:id="rId67" xr:uid="{00000000-0004-0000-0000-000042000000}"/>
    <hyperlink ref="AD68" r:id="rId68" xr:uid="{00000000-0004-0000-0000-000043000000}"/>
    <hyperlink ref="AD69" r:id="rId69" xr:uid="{00000000-0004-0000-0000-000044000000}"/>
    <hyperlink ref="AD70" r:id="rId70" xr:uid="{00000000-0004-0000-0000-000045000000}"/>
    <hyperlink ref="AD71" r:id="rId71" xr:uid="{00000000-0004-0000-0000-000046000000}"/>
    <hyperlink ref="AD72" r:id="rId72" xr:uid="{00000000-0004-0000-0000-000047000000}"/>
    <hyperlink ref="AD73" r:id="rId73" xr:uid="{00000000-0004-0000-0000-000048000000}"/>
    <hyperlink ref="AD74" r:id="rId74" xr:uid="{00000000-0004-0000-0000-000049000000}"/>
    <hyperlink ref="AD75" r:id="rId75" xr:uid="{00000000-0004-0000-0000-00004A000000}"/>
    <hyperlink ref="AD76" r:id="rId76" xr:uid="{00000000-0004-0000-0000-00004B000000}"/>
    <hyperlink ref="AD77" r:id="rId77" xr:uid="{00000000-0004-0000-0000-00004C000000}"/>
    <hyperlink ref="AD78" r:id="rId78" xr:uid="{00000000-0004-0000-0000-00004D000000}"/>
    <hyperlink ref="AD79" r:id="rId79" xr:uid="{00000000-0004-0000-0000-00004E000000}"/>
    <hyperlink ref="AD80" r:id="rId80" xr:uid="{00000000-0004-0000-0000-00004F000000}"/>
    <hyperlink ref="AD81" r:id="rId81" xr:uid="{00000000-0004-0000-0000-000050000000}"/>
    <hyperlink ref="AD82" r:id="rId82" xr:uid="{00000000-0004-0000-0000-000051000000}"/>
    <hyperlink ref="AD83" r:id="rId83" xr:uid="{00000000-0004-0000-0000-000052000000}"/>
    <hyperlink ref="AD84" r:id="rId84" xr:uid="{00000000-0004-0000-0000-000053000000}"/>
    <hyperlink ref="AD85" r:id="rId85" xr:uid="{00000000-0004-0000-0000-000054000000}"/>
    <hyperlink ref="AD86" r:id="rId86" xr:uid="{00000000-0004-0000-0000-000055000000}"/>
    <hyperlink ref="AD87" r:id="rId87" xr:uid="{00000000-0004-0000-0000-000056000000}"/>
    <hyperlink ref="AD88" r:id="rId88" xr:uid="{00000000-0004-0000-0000-000057000000}"/>
    <hyperlink ref="AD89" r:id="rId89" xr:uid="{00000000-0004-0000-0000-000058000000}"/>
    <hyperlink ref="AD90" r:id="rId90" xr:uid="{00000000-0004-0000-0000-000059000000}"/>
    <hyperlink ref="AD91" r:id="rId91" xr:uid="{00000000-0004-0000-0000-00005A000000}"/>
    <hyperlink ref="AD92" r:id="rId92" xr:uid="{00000000-0004-0000-0000-00005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Vasvi Kaushik</dc:creator>
  <cp:lastModifiedBy>Vasvi Kaushik</cp:lastModifiedBy>
  <dcterms:created xsi:type="dcterms:W3CDTF">2026-04-06T17:21:44Z</dcterms:created>
  <dcterms:modified xsi:type="dcterms:W3CDTF">2026-04-06T17:21:44Z</dcterms:modified>
</cp:coreProperties>
</file>